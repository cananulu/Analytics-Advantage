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50\Box\Jim Smith (cu50@georgetown.edu)\information orders\POMDP examples\"/>
    </mc:Choice>
  </mc:AlternateContent>
  <xr:revisionPtr revIDLastSave="0" documentId="8_{08C37292-3F80-4AF9-80E2-E30A6C3CFA03}" xr6:coauthVersionLast="47" xr6:coauthVersionMax="47" xr10:uidLastSave="{00000000-0000-0000-0000-000000000000}"/>
  <bookViews>
    <workbookView xWindow="-120" yWindow="-120" windowWidth="29040" windowHeight="15720" xr2:uid="{2B67B01C-61E9-4483-B910-FBC64C23F6F6}"/>
  </bookViews>
  <sheets>
    <sheet name="2 states rev" sheetId="1" r:id="rId1"/>
    <sheet name="treeCalc_8" sheetId="2" state="hidden" r:id="rId2"/>
    <sheet name="treeCalc_7" sheetId="3" state="hidden" r:id="rId3"/>
  </sheets>
  <externalReferences>
    <externalReference r:id="rId4"/>
  </externalReferences>
  <definedNames>
    <definedName name="solver_adj" localSheetId="0" hidden="1">'2 states rev'!$C$31:$E$32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'2 states rev'!$C$31:$E$33</definedName>
    <definedName name="solver_lhs2" localSheetId="0" hidden="1">'2 states rev'!$C$31:$E$33</definedName>
    <definedName name="solver_lhs3" localSheetId="0" hidden="1">'2 states rev'!$L$31:$N$32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'2 states rev'!$C$31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hs1" localSheetId="0" hidden="1">1</definedName>
    <definedName name="solver_rhs2" localSheetId="0" hidden="1">0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treeList" hidden="1">"00000011000000000000000000000000000000000000000000000000000000000000000000000000000000000000000000000000000000000000000000000000000000000000000000000000000000000000000000000000000000000000000000000000"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4" i="3" l="1"/>
  <c r="J24" i="3"/>
  <c r="J23" i="3"/>
  <c r="O20" i="3"/>
  <c r="J20" i="3"/>
  <c r="J19" i="3"/>
  <c r="O16" i="3"/>
  <c r="J16" i="3"/>
  <c r="J15" i="3"/>
  <c r="O14" i="3"/>
  <c r="J14" i="3"/>
  <c r="O13" i="3"/>
  <c r="J13" i="3"/>
  <c r="O12" i="3"/>
  <c r="J12" i="3"/>
  <c r="O11" i="3"/>
  <c r="K11" i="3"/>
  <c r="J11" i="3"/>
  <c r="B11" i="3"/>
  <c r="B2" i="3"/>
  <c r="O24" i="2"/>
  <c r="J24" i="2"/>
  <c r="J23" i="2"/>
  <c r="O22" i="2"/>
  <c r="J22" i="2"/>
  <c r="J21" i="2"/>
  <c r="O19" i="2"/>
  <c r="J19" i="2"/>
  <c r="J18" i="2"/>
  <c r="O17" i="2"/>
  <c r="J17" i="2"/>
  <c r="O14" i="2"/>
  <c r="J14" i="2"/>
  <c r="J13" i="2"/>
  <c r="O12" i="2"/>
  <c r="J12" i="2"/>
  <c r="O11" i="2"/>
  <c r="K11" i="2"/>
  <c r="J11" i="2"/>
  <c r="B11" i="2"/>
  <c r="B2" i="2"/>
  <c r="D123" i="1"/>
  <c r="J26" i="2" s="1"/>
  <c r="D119" i="1"/>
  <c r="J25" i="2" s="1"/>
  <c r="D113" i="1"/>
  <c r="D109" i="1"/>
  <c r="J20" i="2" s="1"/>
  <c r="D101" i="1"/>
  <c r="J16" i="2" s="1"/>
  <c r="D97" i="1"/>
  <c r="J15" i="2" s="1"/>
  <c r="D84" i="1"/>
  <c r="J26" i="3" s="1"/>
  <c r="D80" i="1"/>
  <c r="J25" i="3" s="1"/>
  <c r="D74" i="1"/>
  <c r="J22" i="3" s="1"/>
  <c r="D70" i="1"/>
  <c r="J21" i="3" s="1"/>
  <c r="D62" i="1"/>
  <c r="J18" i="3" s="1"/>
  <c r="D58" i="1"/>
  <c r="J17" i="3" s="1"/>
  <c r="J41" i="1" a="1"/>
  <c r="J41" i="1" s="1"/>
  <c r="B41" i="1" a="1"/>
  <c r="B41" i="1" s="1"/>
  <c r="K40" i="1" a="1"/>
  <c r="K40" i="1" s="1"/>
  <c r="C40" i="1" a="1"/>
  <c r="C40" i="1" s="1"/>
  <c r="C34" i="1"/>
  <c r="E33" i="1"/>
  <c r="E34" i="1" s="1"/>
  <c r="D33" i="1"/>
  <c r="D34" i="1" s="1"/>
  <c r="C33" i="1"/>
  <c r="D18" i="1"/>
  <c r="J15" i="1"/>
  <c r="I15" i="1"/>
  <c r="I19" i="1" s="1"/>
  <c r="H15" i="1"/>
  <c r="E15" i="1"/>
  <c r="E19" i="1" s="1"/>
  <c r="D15" i="1"/>
  <c r="C15" i="1"/>
  <c r="C19" i="1" s="1"/>
  <c r="J14" i="1"/>
  <c r="J18" i="1" s="1"/>
  <c r="I14" i="1"/>
  <c r="I18" i="1" s="1"/>
  <c r="H14" i="1"/>
  <c r="H18" i="1" s="1"/>
  <c r="E14" i="1"/>
  <c r="E18" i="1" s="1"/>
  <c r="D14" i="1"/>
  <c r="C14" i="1"/>
  <c r="J13" i="1"/>
  <c r="I13" i="1"/>
  <c r="I16" i="1" s="1"/>
  <c r="H13" i="1"/>
  <c r="E13" i="1"/>
  <c r="D13" i="1"/>
  <c r="C13" i="1"/>
  <c r="C18" i="1" s="1"/>
  <c r="G11" i="1"/>
  <c r="B11" i="1"/>
  <c r="Q8" i="1"/>
  <c r="P8" i="1"/>
  <c r="O8" i="1"/>
  <c r="G8" i="1"/>
  <c r="F8" i="1"/>
  <c r="E8" i="1"/>
  <c r="Q7" i="1"/>
  <c r="P7" i="1"/>
  <c r="O7" i="1"/>
  <c r="K7" i="1"/>
  <c r="G7" i="1"/>
  <c r="F7" i="1"/>
  <c r="E7" i="1"/>
  <c r="R8" i="1" l="1"/>
  <c r="H19" i="1"/>
  <c r="C44" i="1"/>
  <c r="C42" i="1" s="1"/>
  <c r="D16" i="1"/>
  <c r="J16" i="1"/>
  <c r="E16" i="1"/>
  <c r="E44" i="1"/>
  <c r="E42" i="1" s="1"/>
  <c r="H16" i="1"/>
  <c r="H31" i="1" a="1"/>
  <c r="H31" i="1" s="1"/>
  <c r="B24" i="1" a="1"/>
  <c r="B24" i="1" s="1"/>
  <c r="E24" i="1" s="1"/>
  <c r="D19" i="1"/>
  <c r="D21" i="1" s="1" a="1"/>
  <c r="D21" i="1" s="1"/>
  <c r="H8" i="1"/>
  <c r="C41" i="1"/>
  <c r="D96" i="1" s="1"/>
  <c r="L44" i="1"/>
  <c r="B67" i="1" s="1"/>
  <c r="K13" i="3" s="1"/>
  <c r="L31" i="1" a="1"/>
  <c r="L31" i="1" s="1"/>
  <c r="E41" i="1"/>
  <c r="H7" i="1"/>
  <c r="D44" i="1"/>
  <c r="B106" i="1" s="1"/>
  <c r="K17" i="2" s="1"/>
  <c r="C16" i="1"/>
  <c r="J19" i="1"/>
  <c r="K44" i="1"/>
  <c r="K41" i="1" s="1"/>
  <c r="R7" i="1"/>
  <c r="M44" i="1"/>
  <c r="M42" i="1" s="1"/>
  <c r="B25" i="1" a="1"/>
  <c r="L41" i="1" l="1"/>
  <c r="L42" i="1"/>
  <c r="C43" i="1"/>
  <c r="B94" i="1"/>
  <c r="B116" i="1" s="1"/>
  <c r="K22" i="2" s="1"/>
  <c r="E43" i="1"/>
  <c r="D118" i="1"/>
  <c r="K15" i="2"/>
  <c r="D100" i="1"/>
  <c r="K16" i="2" s="1"/>
  <c r="F44" i="1"/>
  <c r="D57" i="1"/>
  <c r="E25" i="1"/>
  <c r="B25" i="1"/>
  <c r="D41" i="1"/>
  <c r="D69" i="1"/>
  <c r="L43" i="1"/>
  <c r="K12" i="2"/>
  <c r="B55" i="1"/>
  <c r="N44" i="1"/>
  <c r="K42" i="1"/>
  <c r="K43" i="1" s="1"/>
  <c r="M41" i="1"/>
  <c r="D42" i="1"/>
  <c r="B77" i="1" l="1"/>
  <c r="K14" i="3" s="1"/>
  <c r="K12" i="3"/>
  <c r="D108" i="1"/>
  <c r="D43" i="1"/>
  <c r="D79" i="1"/>
  <c r="M43" i="1"/>
  <c r="K25" i="2"/>
  <c r="D122" i="1"/>
  <c r="K26" i="2" s="1"/>
  <c r="K21" i="3"/>
  <c r="D73" i="1"/>
  <c r="K22" i="3" s="1"/>
  <c r="D61" i="1"/>
  <c r="K18" i="3" s="1"/>
  <c r="K17" i="3"/>
  <c r="K20" i="2" l="1"/>
  <c r="D112" i="1"/>
  <c r="K21" i="2" s="1"/>
  <c r="K25" i="3"/>
  <c r="D83" i="1"/>
  <c r="K26" i="3" s="1"/>
  <c r="F2" i="2"/>
  <c r="F2" i="3"/>
  <c r="E97" i="1"/>
  <c r="E109" i="1"/>
  <c r="C120" i="1"/>
  <c r="C98" i="1"/>
  <c r="C110" i="1"/>
  <c r="D121" i="1"/>
  <c r="D99" i="1"/>
  <c r="D111" i="1"/>
  <c r="E122" i="1"/>
  <c r="E100" i="1"/>
  <c r="E112" i="1"/>
  <c r="E123" i="1"/>
  <c r="E101" i="1"/>
  <c r="E113" i="1"/>
  <c r="B103" i="1"/>
  <c r="C114" i="1"/>
  <c r="C92" i="1"/>
  <c r="C104" i="1"/>
  <c r="D114" i="1"/>
  <c r="D92" i="1"/>
  <c r="D104" i="1"/>
  <c r="D115" i="1"/>
  <c r="D93" i="1"/>
  <c r="D105" i="1"/>
  <c r="C117" i="1"/>
  <c r="C95" i="1"/>
  <c r="C107" i="1"/>
  <c r="E118" i="1"/>
  <c r="E96" i="1"/>
  <c r="E108" i="1"/>
  <c r="E119" i="1"/>
  <c r="E57" i="1"/>
  <c r="E69" i="1"/>
  <c r="E80" i="1"/>
  <c r="E58" i="1"/>
  <c r="E70" i="1"/>
  <c r="C81" i="1"/>
  <c r="C59" i="1"/>
  <c r="C71" i="1"/>
  <c r="D82" i="1"/>
  <c r="D60" i="1"/>
  <c r="D72" i="1"/>
  <c r="E83" i="1"/>
  <c r="E61" i="1"/>
  <c r="E73" i="1"/>
  <c r="E84" i="1"/>
  <c r="E62" i="1"/>
  <c r="E74" i="1"/>
  <c r="B64" i="1"/>
  <c r="C75" i="1"/>
  <c r="C53" i="1"/>
  <c r="C65" i="1"/>
  <c r="D75" i="1"/>
  <c r="D53" i="1"/>
  <c r="D54" i="1"/>
  <c r="D66" i="1"/>
  <c r="D65" i="1"/>
  <c r="C78" i="1"/>
  <c r="C56" i="1"/>
  <c r="C68" i="1"/>
  <c r="D76" i="1"/>
  <c r="E79" i="1"/>
  <c r="A23" i="3" l="1"/>
  <c r="A13" i="3"/>
  <c r="A12" i="3"/>
  <c r="A14" i="3"/>
  <c r="A19" i="3"/>
  <c r="A15" i="3"/>
  <c r="E3" i="1"/>
  <c r="A11" i="3"/>
  <c r="B127" i="1"/>
  <c r="A22" i="3"/>
  <c r="A18" i="3"/>
  <c r="A26" i="3"/>
  <c r="A20" i="3"/>
  <c r="A16" i="3"/>
  <c r="A24" i="3"/>
  <c r="A21" i="3"/>
  <c r="A17" i="3"/>
  <c r="A25" i="3"/>
  <c r="A25" i="2"/>
  <c r="A17" i="2"/>
  <c r="A12" i="2"/>
  <c r="A22" i="2"/>
  <c r="A18" i="2"/>
  <c r="A13" i="2"/>
  <c r="A23" i="2"/>
  <c r="E4" i="1"/>
  <c r="A11" i="2"/>
  <c r="C127" i="1"/>
  <c r="A21" i="2"/>
  <c r="A16" i="2"/>
  <c r="A26" i="2"/>
  <c r="A19" i="2"/>
  <c r="A14" i="2"/>
  <c r="A24" i="2"/>
  <c r="A20" i="2"/>
  <c r="A1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<sst xmlns="http://schemas.openxmlformats.org/spreadsheetml/2006/main" count="309" uniqueCount="109">
  <si>
    <t>If the prob of observing the signal increases with the state, there is no dominance relationship between F and G (values cross more than once as a function of prior)</t>
  </si>
  <si>
    <t>A</t>
  </si>
  <si>
    <t>Value from F</t>
  </si>
  <si>
    <t>Value from G can be better</t>
  </si>
  <si>
    <t>K</t>
  </si>
  <si>
    <t>Value from G</t>
  </si>
  <si>
    <t>c</t>
  </si>
  <si>
    <t>signals</t>
  </si>
  <si>
    <t>y</t>
  </si>
  <si>
    <t>x</t>
  </si>
  <si>
    <t>state</t>
  </si>
  <si>
    <t>theta</t>
  </si>
  <si>
    <t>sum</t>
  </si>
  <si>
    <t>signal observed prob</t>
  </si>
  <si>
    <t>prior</t>
  </si>
  <si>
    <t>G</t>
  </si>
  <si>
    <t>low</t>
  </si>
  <si>
    <t>F</t>
  </si>
  <si>
    <t>high</t>
  </si>
  <si>
    <t>State dependent garbling matrices are Binomial</t>
  </si>
  <si>
    <t>LR ratios</t>
  </si>
  <si>
    <t>Garbling*F=G</t>
  </si>
  <si>
    <t>Blackwell</t>
  </si>
  <si>
    <t>F*transpose(P)</t>
  </si>
  <si>
    <t>F*transpose(P)-G</t>
  </si>
  <si>
    <t>There is a feasible solution to Blackwell.</t>
  </si>
  <si>
    <t>posterior</t>
  </si>
  <si>
    <t>predictive</t>
  </si>
  <si>
    <t>Decision</t>
  </si>
  <si>
    <t>Chance</t>
  </si>
  <si>
    <t>signal</t>
  </si>
  <si>
    <t>value from F</t>
  </si>
  <si>
    <t>prior on high</t>
  </si>
  <si>
    <t>Name</t>
  </si>
  <si>
    <t>G Tree</t>
  </si>
  <si>
    <t>Ptree1 Compatibility</t>
  </si>
  <si>
    <t>Output Label</t>
  </si>
  <si>
    <t/>
  </si>
  <si>
    <t>R-Value Ref.</t>
  </si>
  <si>
    <t>SheetRef</t>
  </si>
  <si>
    <t>Eval. Function</t>
  </si>
  <si>
    <t>GenInfo</t>
  </si>
  <si>
    <t>0,8,1,0,0,Exponential, 0,0,-1,0,-1,-1,.0001</t>
  </si>
  <si>
    <t>Creation Version</t>
  </si>
  <si>
    <t>8.10.1</t>
  </si>
  <si>
    <t>Output Value NF</t>
  </si>
  <si>
    <t>&lt;NF&gt;</t>
  </si>
  <si>
    <t>Def. Link</t>
  </si>
  <si>
    <t>=</t>
  </si>
  <si>
    <t>Required Version</t>
  </si>
  <si>
    <t>5.0.0</t>
  </si>
  <si>
    <t>Output Prob NF</t>
  </si>
  <si>
    <t>Automatic</t>
  </si>
  <si>
    <t>EXT REFS</t>
  </si>
  <si>
    <t>Recommended Version</t>
  </si>
  <si>
    <t>Input Value NF</t>
  </si>
  <si>
    <t>Def. Form</t>
  </si>
  <si>
    <t>Last Modified By Version</t>
  </si>
  <si>
    <t>Input Prob NF</t>
  </si>
  <si>
    <t>Calc Macro</t>
  </si>
  <si>
    <t>Model GUID</t>
  </si>
  <si>
    <t>Highest#</t>
  </si>
  <si>
    <t>Anchor Cell</t>
  </si>
  <si>
    <t>Branch Name</t>
  </si>
  <si>
    <t>bformtype</t>
  </si>
  <si>
    <t>valformula</t>
  </si>
  <si>
    <t>pbformula</t>
  </si>
  <si>
    <t>distribution</t>
  </si>
  <si>
    <t>cumPayoffFunction</t>
  </si>
  <si>
    <t>link</t>
  </si>
  <si>
    <t>ENDNODEFORMULA</t>
  </si>
  <si>
    <t>VAL</t>
  </si>
  <si>
    <t>PB</t>
  </si>
  <si>
    <t>IntRefs</t>
  </si>
  <si>
    <t>RefRefs</t>
  </si>
  <si>
    <t>NodeNames</t>
  </si>
  <si>
    <t>Collapsed</t>
  </si>
  <si>
    <t>DEFAULT</t>
  </si>
  <si>
    <t>1,0,0,3,2,7,12,0,0,0</t>
  </si>
  <si>
    <t>0</t>
  </si>
  <si>
    <t>2,0,0,2,3,4,1,0,0</t>
  </si>
  <si>
    <t>reject</t>
  </si>
  <si>
    <t>4,0,0,0,2,0,0</t>
  </si>
  <si>
    <t>adopt</t>
  </si>
  <si>
    <t>1,0,0,2,5,6,2,0,0</t>
  </si>
  <si>
    <t>4,0,0,0,4,0,0</t>
  </si>
  <si>
    <t>1</t>
  </si>
  <si>
    <t>2,0,0,2,8,9,1,0,0</t>
  </si>
  <si>
    <t>4,0,0,0,7,0,0</t>
  </si>
  <si>
    <t>1,0,0,2,10,11,7,0,0</t>
  </si>
  <si>
    <t>4,0,0,0,9,0,0</t>
  </si>
  <si>
    <t>2</t>
  </si>
  <si>
    <t>2,0,0,2,13,14,1,0,0</t>
  </si>
  <si>
    <t>4,0,0,0,12,0,0</t>
  </si>
  <si>
    <t>1,0,0,2,15,16,12,0,0</t>
  </si>
  <si>
    <t>4,0,0,0,14,0,0</t>
  </si>
  <si>
    <t>F tree</t>
  </si>
  <si>
    <t>0,7,1,0,0,Exponential, 0,0,-1,0,-1,-1,.0001</t>
  </si>
  <si>
    <t>1,0,0,3,2,3,4,0,0,0</t>
  </si>
  <si>
    <t>2,0,0,2,5,6,1,0,0</t>
  </si>
  <si>
    <t>2,0,0,2,9,10,1,0,0</t>
  </si>
  <si>
    <t>1,0,0,2,7,8,2,0,0</t>
  </si>
  <si>
    <t>4,0,0,0,6,0,0</t>
  </si>
  <si>
    <t>4,0,0,0,3,0,0</t>
  </si>
  <si>
    <t>1,0,0,2,11,12,3,0,0</t>
  </si>
  <si>
    <t>4,0,0,0,10,0,0</t>
  </si>
  <si>
    <t>1,0,0,2,15,16,4,0,0</t>
  </si>
  <si>
    <t>118C9354</t>
  </si>
  <si>
    <t>32513541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</si>
</sst>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0.00001]0.0###%;[=0]0.0%;0.00E+00"/>
  </numFmts>
  <fonts count="9" x14ac:knownFonts="1"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8"/>
      <color rgb="FF008000"/>
      <name val="Aptos Narrow"/>
      <family val="2"/>
      <scheme val="minor"/>
    </font>
    <font>
      <b/>
      <sz val="8"/>
      <color rgb="FF00008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8000"/>
      <name val="Aptos Narrow"/>
      <family val="2"/>
      <scheme val="minor"/>
    </font>
    <font>
      <sz val="8"/>
      <color rgb="FF800000"/>
      <name val="Aptos Narrow"/>
      <family val="2"/>
      <scheme val="minor"/>
    </font>
    <font>
      <b/>
      <sz val="8"/>
      <color rgb="FF8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101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 states rev'!$B$126</c:f>
              <c:strCache>
                <c:ptCount val="1"/>
                <c:pt idx="0">
                  <c:v>value from 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 states rev'!$A$128:$A$228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'2 states rev'!$B$128:$B$228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1.9600000000000043E-3</c:v>
                </c:pt>
                <c:pt idx="3">
                  <c:v>3.9399999999999939E-3</c:v>
                </c:pt>
                <c:pt idx="4">
                  <c:v>5.9200000000000008E-3</c:v>
                </c:pt>
                <c:pt idx="5">
                  <c:v>7.9000000000000042E-3</c:v>
                </c:pt>
                <c:pt idx="6">
                  <c:v>9.8800000000000415E-3</c:v>
                </c:pt>
                <c:pt idx="7">
                  <c:v>1.1860000000000023E-2</c:v>
                </c:pt>
                <c:pt idx="8">
                  <c:v>1.3839999999999998E-2</c:v>
                </c:pt>
                <c:pt idx="9">
                  <c:v>1.5820000000000004E-2</c:v>
                </c:pt>
                <c:pt idx="10">
                  <c:v>1.7800000000000014E-2</c:v>
                </c:pt>
                <c:pt idx="11">
                  <c:v>1.9779999999999989E-2</c:v>
                </c:pt>
                <c:pt idx="12">
                  <c:v>2.1759999999999995E-2</c:v>
                </c:pt>
                <c:pt idx="13">
                  <c:v>2.3740000000000001E-2</c:v>
                </c:pt>
                <c:pt idx="14">
                  <c:v>2.572000000000001E-2</c:v>
                </c:pt>
                <c:pt idx="15">
                  <c:v>2.7700000000000016E-2</c:v>
                </c:pt>
                <c:pt idx="16">
                  <c:v>2.9680000000000071E-2</c:v>
                </c:pt>
                <c:pt idx="17">
                  <c:v>3.1660000000000042E-2</c:v>
                </c:pt>
                <c:pt idx="18">
                  <c:v>3.4359999999999981E-2</c:v>
                </c:pt>
                <c:pt idx="19">
                  <c:v>3.837999999999997E-2</c:v>
                </c:pt>
                <c:pt idx="20">
                  <c:v>4.2399999999999986E-2</c:v>
                </c:pt>
                <c:pt idx="21">
                  <c:v>4.6419999999999989E-2</c:v>
                </c:pt>
                <c:pt idx="22">
                  <c:v>5.0439999999999957E-2</c:v>
                </c:pt>
                <c:pt idx="23">
                  <c:v>5.4460000000000008E-2</c:v>
                </c:pt>
                <c:pt idx="24">
                  <c:v>5.8480000000000053E-2</c:v>
                </c:pt>
                <c:pt idx="25">
                  <c:v>6.2500000000000014E-2</c:v>
                </c:pt>
                <c:pt idx="26">
                  <c:v>6.6519999999999996E-2</c:v>
                </c:pt>
                <c:pt idx="27">
                  <c:v>7.0540000000000019E-2</c:v>
                </c:pt>
                <c:pt idx="28">
                  <c:v>7.4560000000000029E-2</c:v>
                </c:pt>
                <c:pt idx="29">
                  <c:v>7.8579999999999997E-2</c:v>
                </c:pt>
                <c:pt idx="30">
                  <c:v>8.2599999999999993E-2</c:v>
                </c:pt>
                <c:pt idx="31">
                  <c:v>8.6619999999999989E-2</c:v>
                </c:pt>
                <c:pt idx="32">
                  <c:v>9.0639999999999984E-2</c:v>
                </c:pt>
                <c:pt idx="33">
                  <c:v>9.4660000000000077E-2</c:v>
                </c:pt>
                <c:pt idx="34">
                  <c:v>9.8680000000000073E-2</c:v>
                </c:pt>
                <c:pt idx="35">
                  <c:v>0.1027</c:v>
                </c:pt>
                <c:pt idx="36">
                  <c:v>0.10672000000000001</c:v>
                </c:pt>
                <c:pt idx="37">
                  <c:v>0.11073999999999998</c:v>
                </c:pt>
                <c:pt idx="38">
                  <c:v>0.11475999999999999</c:v>
                </c:pt>
                <c:pt idx="39">
                  <c:v>0.11878000000000002</c:v>
                </c:pt>
                <c:pt idx="40">
                  <c:v>0.12280000000000002</c:v>
                </c:pt>
                <c:pt idx="41">
                  <c:v>0.12681999999999996</c:v>
                </c:pt>
                <c:pt idx="42">
                  <c:v>0.13083999999999998</c:v>
                </c:pt>
                <c:pt idx="43">
                  <c:v>0.13486000000000001</c:v>
                </c:pt>
                <c:pt idx="44">
                  <c:v>0.13888</c:v>
                </c:pt>
                <c:pt idx="45">
                  <c:v>0.14289999999999997</c:v>
                </c:pt>
                <c:pt idx="46">
                  <c:v>0.14691999999999997</c:v>
                </c:pt>
                <c:pt idx="47">
                  <c:v>0.15093999999999996</c:v>
                </c:pt>
                <c:pt idx="48">
                  <c:v>0.15495999999999999</c:v>
                </c:pt>
                <c:pt idx="49">
                  <c:v>0.15898000000000001</c:v>
                </c:pt>
                <c:pt idx="50">
                  <c:v>0.16299999999999998</c:v>
                </c:pt>
                <c:pt idx="51">
                  <c:v>0.16701999999999997</c:v>
                </c:pt>
                <c:pt idx="52">
                  <c:v>0.17104</c:v>
                </c:pt>
                <c:pt idx="53">
                  <c:v>0.17506000000000002</c:v>
                </c:pt>
                <c:pt idx="54">
                  <c:v>0.17908000000000002</c:v>
                </c:pt>
                <c:pt idx="55">
                  <c:v>0.18309999999999998</c:v>
                </c:pt>
                <c:pt idx="56">
                  <c:v>0.18712000000000001</c:v>
                </c:pt>
                <c:pt idx="57">
                  <c:v>0.19113999999999998</c:v>
                </c:pt>
                <c:pt idx="58">
                  <c:v>0.19515999999999994</c:v>
                </c:pt>
                <c:pt idx="59">
                  <c:v>0.19918000000000002</c:v>
                </c:pt>
                <c:pt idx="60">
                  <c:v>0.20319999999999996</c:v>
                </c:pt>
                <c:pt idx="61">
                  <c:v>0.20721999999999996</c:v>
                </c:pt>
                <c:pt idx="62">
                  <c:v>0.21124000000000001</c:v>
                </c:pt>
                <c:pt idx="63">
                  <c:v>0.21525999999999995</c:v>
                </c:pt>
                <c:pt idx="64">
                  <c:v>0.21928</c:v>
                </c:pt>
                <c:pt idx="65">
                  <c:v>0.2233</c:v>
                </c:pt>
                <c:pt idx="66">
                  <c:v>0.22731999999999997</c:v>
                </c:pt>
                <c:pt idx="67">
                  <c:v>0.23134000000000005</c:v>
                </c:pt>
                <c:pt idx="68">
                  <c:v>0.23535999999999996</c:v>
                </c:pt>
                <c:pt idx="69">
                  <c:v>0.23937999999999998</c:v>
                </c:pt>
                <c:pt idx="70">
                  <c:v>0.24339999999999998</c:v>
                </c:pt>
                <c:pt idx="71">
                  <c:v>0.24741999999999992</c:v>
                </c:pt>
                <c:pt idx="72">
                  <c:v>0.25144</c:v>
                </c:pt>
                <c:pt idx="73">
                  <c:v>0.25545999999999996</c:v>
                </c:pt>
                <c:pt idx="74">
                  <c:v>0.25947999999999993</c:v>
                </c:pt>
                <c:pt idx="75">
                  <c:v>0.26349999999999996</c:v>
                </c:pt>
                <c:pt idx="76">
                  <c:v>0.26751999999999998</c:v>
                </c:pt>
                <c:pt idx="77">
                  <c:v>0.27154</c:v>
                </c:pt>
                <c:pt idx="78">
                  <c:v>0.27556000000000003</c:v>
                </c:pt>
                <c:pt idx="79">
                  <c:v>0.27958</c:v>
                </c:pt>
                <c:pt idx="80">
                  <c:v>0.28359999999999996</c:v>
                </c:pt>
                <c:pt idx="81">
                  <c:v>0.28761999999999999</c:v>
                </c:pt>
                <c:pt idx="82">
                  <c:v>0.29199999999999993</c:v>
                </c:pt>
                <c:pt idx="83">
                  <c:v>0.29799999999999993</c:v>
                </c:pt>
                <c:pt idx="84">
                  <c:v>0.30399999999999994</c:v>
                </c:pt>
                <c:pt idx="85">
                  <c:v>0.31</c:v>
                </c:pt>
                <c:pt idx="86">
                  <c:v>0.31599999999999995</c:v>
                </c:pt>
                <c:pt idx="87">
                  <c:v>0.32199999999999995</c:v>
                </c:pt>
                <c:pt idx="88">
                  <c:v>0.32800000000000007</c:v>
                </c:pt>
                <c:pt idx="89">
                  <c:v>0.33399999999999996</c:v>
                </c:pt>
                <c:pt idx="90">
                  <c:v>0.34</c:v>
                </c:pt>
                <c:pt idx="91">
                  <c:v>0.34600000000000003</c:v>
                </c:pt>
                <c:pt idx="92">
                  <c:v>0.35199999999999998</c:v>
                </c:pt>
                <c:pt idx="93">
                  <c:v>0.35800000000000004</c:v>
                </c:pt>
                <c:pt idx="94">
                  <c:v>0.36399999999999999</c:v>
                </c:pt>
                <c:pt idx="95">
                  <c:v>0.36999999999999994</c:v>
                </c:pt>
                <c:pt idx="96">
                  <c:v>0.37599999999999989</c:v>
                </c:pt>
                <c:pt idx="97">
                  <c:v>0.38199999999999995</c:v>
                </c:pt>
                <c:pt idx="98">
                  <c:v>0.3879999999999999</c:v>
                </c:pt>
                <c:pt idx="99">
                  <c:v>0.39399999999999996</c:v>
                </c:pt>
                <c:pt idx="100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F-49AE-9617-46862948D689}"/>
            </c:ext>
          </c:extLst>
        </c:ser>
        <c:ser>
          <c:idx val="1"/>
          <c:order val="1"/>
          <c:tx>
            <c:strRef>
              <c:f>'2 states rev'!$C$126</c:f>
              <c:strCache>
                <c:ptCount val="1"/>
                <c:pt idx="0">
                  <c:v>Value from 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 states rev'!$A$128:$A$228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'2 states rev'!$C$128:$C$228</c:f>
              <c:numCache>
                <c:formatCode>General</c:formatCode>
                <c:ptCount val="101"/>
                <c:pt idx="0">
                  <c:v>0</c:v>
                </c:pt>
                <c:pt idx="1">
                  <c:v>6.4360000000000209E-4</c:v>
                </c:pt>
                <c:pt idx="2">
                  <c:v>1.6071999999999961E-3</c:v>
                </c:pt>
                <c:pt idx="3">
                  <c:v>2.5708000000000193E-3</c:v>
                </c:pt>
                <c:pt idx="4">
                  <c:v>3.5344000000000113E-3</c:v>
                </c:pt>
                <c:pt idx="5">
                  <c:v>4.4980000000000029E-3</c:v>
                </c:pt>
                <c:pt idx="6">
                  <c:v>5.4615999999999909E-3</c:v>
                </c:pt>
                <c:pt idx="7">
                  <c:v>6.4252000000000215E-3</c:v>
                </c:pt>
                <c:pt idx="8">
                  <c:v>9.2512000000000115E-3</c:v>
                </c:pt>
                <c:pt idx="9">
                  <c:v>1.2367599999999998E-2</c:v>
                </c:pt>
                <c:pt idx="10">
                  <c:v>1.5484000000000022E-2</c:v>
                </c:pt>
                <c:pt idx="11">
                  <c:v>1.8600399999999975E-2</c:v>
                </c:pt>
                <c:pt idx="12">
                  <c:v>2.1716800000000005E-2</c:v>
                </c:pt>
                <c:pt idx="13">
                  <c:v>2.48332E-2</c:v>
                </c:pt>
                <c:pt idx="14">
                  <c:v>2.7949600000000029E-2</c:v>
                </c:pt>
                <c:pt idx="15">
                  <c:v>3.1066000000000003E-2</c:v>
                </c:pt>
                <c:pt idx="16">
                  <c:v>3.4182400000000002E-2</c:v>
                </c:pt>
                <c:pt idx="17">
                  <c:v>3.7298800000000035E-2</c:v>
                </c:pt>
                <c:pt idx="18">
                  <c:v>4.0415199999999971E-2</c:v>
                </c:pt>
                <c:pt idx="19">
                  <c:v>4.3531599999999962E-2</c:v>
                </c:pt>
                <c:pt idx="20">
                  <c:v>4.6647999999999981E-2</c:v>
                </c:pt>
                <c:pt idx="21">
                  <c:v>4.9764399999999979E-2</c:v>
                </c:pt>
                <c:pt idx="22">
                  <c:v>5.2880799999999978E-2</c:v>
                </c:pt>
                <c:pt idx="23">
                  <c:v>5.5997199999999976E-2</c:v>
                </c:pt>
                <c:pt idx="24">
                  <c:v>5.9113599999999981E-2</c:v>
                </c:pt>
                <c:pt idx="25">
                  <c:v>6.222999999999998E-2</c:v>
                </c:pt>
                <c:pt idx="26">
                  <c:v>6.5346400000000054E-2</c:v>
                </c:pt>
                <c:pt idx="27">
                  <c:v>6.8462800000000004E-2</c:v>
                </c:pt>
                <c:pt idx="28">
                  <c:v>7.1579200000000037E-2</c:v>
                </c:pt>
                <c:pt idx="29">
                  <c:v>7.4695600000000056E-2</c:v>
                </c:pt>
                <c:pt idx="30">
                  <c:v>7.7812000000000006E-2</c:v>
                </c:pt>
                <c:pt idx="31">
                  <c:v>8.0928400000000053E-2</c:v>
                </c:pt>
                <c:pt idx="32">
                  <c:v>8.4044800000000031E-2</c:v>
                </c:pt>
                <c:pt idx="33">
                  <c:v>8.7161200000000022E-2</c:v>
                </c:pt>
                <c:pt idx="34">
                  <c:v>9.0277600000000041E-2</c:v>
                </c:pt>
                <c:pt idx="35">
                  <c:v>9.3393999999999977E-2</c:v>
                </c:pt>
                <c:pt idx="36">
                  <c:v>9.6510400000000024E-2</c:v>
                </c:pt>
                <c:pt idx="37">
                  <c:v>9.962679999999996E-2</c:v>
                </c:pt>
                <c:pt idx="38">
                  <c:v>0.10274320000000001</c:v>
                </c:pt>
                <c:pt idx="39">
                  <c:v>0.10585959999999994</c:v>
                </c:pt>
                <c:pt idx="40">
                  <c:v>0.10897599999999998</c:v>
                </c:pt>
                <c:pt idx="41">
                  <c:v>0.11209239999999999</c:v>
                </c:pt>
                <c:pt idx="42">
                  <c:v>0.1152088</c:v>
                </c:pt>
                <c:pt idx="43">
                  <c:v>0.11832519999999996</c:v>
                </c:pt>
                <c:pt idx="44">
                  <c:v>0.12144160000000001</c:v>
                </c:pt>
                <c:pt idx="45">
                  <c:v>0.124558</c:v>
                </c:pt>
                <c:pt idx="46">
                  <c:v>0.12767439999999999</c:v>
                </c:pt>
                <c:pt idx="47">
                  <c:v>0.13079080000000001</c:v>
                </c:pt>
                <c:pt idx="48">
                  <c:v>0.1339072</c:v>
                </c:pt>
                <c:pt idx="49">
                  <c:v>0.13702360000000002</c:v>
                </c:pt>
                <c:pt idx="50">
                  <c:v>0.14013999999999999</c:v>
                </c:pt>
                <c:pt idx="51">
                  <c:v>0.14325639999999995</c:v>
                </c:pt>
                <c:pt idx="52">
                  <c:v>0.14637279999999997</c:v>
                </c:pt>
                <c:pt idx="53">
                  <c:v>0.14948919999999999</c:v>
                </c:pt>
                <c:pt idx="54">
                  <c:v>0.15260560000000001</c:v>
                </c:pt>
                <c:pt idx="55">
                  <c:v>0.155722</c:v>
                </c:pt>
                <c:pt idx="56">
                  <c:v>0.15883840000000007</c:v>
                </c:pt>
                <c:pt idx="57">
                  <c:v>0.16195479999999998</c:v>
                </c:pt>
                <c:pt idx="58">
                  <c:v>0.16507119999999995</c:v>
                </c:pt>
                <c:pt idx="59">
                  <c:v>0.16818759999999996</c:v>
                </c:pt>
                <c:pt idx="60">
                  <c:v>0.17130399999999996</c:v>
                </c:pt>
                <c:pt idx="61">
                  <c:v>0.17442039999999995</c:v>
                </c:pt>
                <c:pt idx="62">
                  <c:v>0.17753679999999999</c:v>
                </c:pt>
                <c:pt idx="63">
                  <c:v>0.18065320000000001</c:v>
                </c:pt>
                <c:pt idx="64">
                  <c:v>0.184</c:v>
                </c:pt>
                <c:pt idx="65">
                  <c:v>0.19</c:v>
                </c:pt>
                <c:pt idx="66">
                  <c:v>0.19600000000000001</c:v>
                </c:pt>
                <c:pt idx="67">
                  <c:v>0.20200000000000004</c:v>
                </c:pt>
                <c:pt idx="68">
                  <c:v>0.20800000000000002</c:v>
                </c:pt>
                <c:pt idx="69">
                  <c:v>0.21399999999999994</c:v>
                </c:pt>
                <c:pt idx="70">
                  <c:v>0.21999999999999992</c:v>
                </c:pt>
                <c:pt idx="71">
                  <c:v>0.22599999999999998</c:v>
                </c:pt>
                <c:pt idx="72">
                  <c:v>0.23199999999999998</c:v>
                </c:pt>
                <c:pt idx="73">
                  <c:v>0.23799999999999999</c:v>
                </c:pt>
                <c:pt idx="74">
                  <c:v>0.24399999999999999</c:v>
                </c:pt>
                <c:pt idx="75">
                  <c:v>0.24999999999999997</c:v>
                </c:pt>
                <c:pt idx="76">
                  <c:v>0.25599999999999995</c:v>
                </c:pt>
                <c:pt idx="77">
                  <c:v>0.26200000000000001</c:v>
                </c:pt>
                <c:pt idx="78">
                  <c:v>0.26800000000000002</c:v>
                </c:pt>
                <c:pt idx="79">
                  <c:v>0.27399999999999997</c:v>
                </c:pt>
                <c:pt idx="80">
                  <c:v>0.28000000000000003</c:v>
                </c:pt>
                <c:pt idx="81">
                  <c:v>0.28600000000000003</c:v>
                </c:pt>
                <c:pt idx="82">
                  <c:v>0.29199999999999998</c:v>
                </c:pt>
                <c:pt idx="83">
                  <c:v>0.29799999999999993</c:v>
                </c:pt>
                <c:pt idx="84">
                  <c:v>0.30399999999999999</c:v>
                </c:pt>
                <c:pt idx="85">
                  <c:v>0.30999999999999994</c:v>
                </c:pt>
                <c:pt idx="86">
                  <c:v>0.31599999999999995</c:v>
                </c:pt>
                <c:pt idx="87">
                  <c:v>0.32199999999999995</c:v>
                </c:pt>
                <c:pt idx="88">
                  <c:v>0.32799999999999996</c:v>
                </c:pt>
                <c:pt idx="89">
                  <c:v>0.33399999999999996</c:v>
                </c:pt>
                <c:pt idx="90">
                  <c:v>0.33999999999999997</c:v>
                </c:pt>
                <c:pt idx="91">
                  <c:v>0.34599999999999997</c:v>
                </c:pt>
                <c:pt idx="92">
                  <c:v>0.35199999999999998</c:v>
                </c:pt>
                <c:pt idx="93">
                  <c:v>0.35799999999999998</c:v>
                </c:pt>
                <c:pt idx="94">
                  <c:v>0.36399999999999988</c:v>
                </c:pt>
                <c:pt idx="95">
                  <c:v>0.36999999999999994</c:v>
                </c:pt>
                <c:pt idx="96">
                  <c:v>0.37599999999999995</c:v>
                </c:pt>
                <c:pt idx="97">
                  <c:v>0.38199999999999995</c:v>
                </c:pt>
                <c:pt idx="98">
                  <c:v>0.38799999999999996</c:v>
                </c:pt>
                <c:pt idx="99">
                  <c:v>0.39399999999999996</c:v>
                </c:pt>
                <c:pt idx="100">
                  <c:v>0.39999999999999991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F-49AE-9617-46862948D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016239"/>
        <c:axId val="1915913519"/>
      </c:scatterChart>
      <c:valAx>
        <c:axId val="1921016239"/>
        <c:scaling>
          <c:orientation val="minMax"/>
          <c:max val="1"/>
        </c:scaling>
        <c:delete val="0"/>
        <c:axPos val="b"/>
        <c:title>
          <c:tx>
            <c:strRef>
              <c:f>'2 states rev'!$A$127</c:f>
              <c:strCache>
                <c:ptCount val="1"/>
                <c:pt idx="0">
                  <c:v>prior on high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13519"/>
        <c:crosses val="autoZero"/>
        <c:crossBetween val="midCat"/>
      </c:valAx>
      <c:valAx>
        <c:axId val="19159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01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280797</xdr:colOff>
      <xdr:row>121</xdr:row>
      <xdr:rowOff>261621</xdr:rowOff>
    </xdr:from>
    <xdr:to>
      <xdr:col>4</xdr:col>
      <xdr:colOff>127</xdr:colOff>
      <xdr:row>121</xdr:row>
      <xdr:rowOff>261621</xdr:rowOff>
    </xdr:to>
    <xdr:cxnSp macro="_xll.PtreeEvent_ObjectClick">
      <xdr:nvCxnSpPr>
        <xdr:cNvPr id="2" name="PTObj_DBranchHLine_8_16">
          <a:extLst>
            <a:ext uri="{FF2B5EF4-FFF2-40B4-BE49-F238E27FC236}">
              <a16:creationId xmlns:a16="http://schemas.microsoft.com/office/drawing/2014/main" id="{771A26DB-D82C-4668-B997-BC39895E94D2}"/>
            </a:ext>
          </a:extLst>
        </xdr:cNvPr>
        <xdr:cNvCxnSpPr/>
      </xdr:nvCxnSpPr>
      <xdr:spPr>
        <a:xfrm>
          <a:off x="5510022" y="325513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119</xdr:row>
      <xdr:rowOff>256542</xdr:rowOff>
    </xdr:from>
    <xdr:to>
      <xdr:col>3</xdr:col>
      <xdr:colOff>280797</xdr:colOff>
      <xdr:row>121</xdr:row>
      <xdr:rowOff>261621</xdr:rowOff>
    </xdr:to>
    <xdr:cxnSp macro="_xll.PtreeEvent_ObjectClick">
      <xdr:nvCxnSpPr>
        <xdr:cNvPr id="3" name="PTObj_DBranchDLine_8_16">
          <a:extLst>
            <a:ext uri="{FF2B5EF4-FFF2-40B4-BE49-F238E27FC236}">
              <a16:creationId xmlns:a16="http://schemas.microsoft.com/office/drawing/2014/main" id="{0F855B4B-7E81-4C2D-82D0-95F0F02CF09B}"/>
            </a:ext>
          </a:extLst>
        </xdr:cNvPr>
        <xdr:cNvCxnSpPr/>
      </xdr:nvCxnSpPr>
      <xdr:spPr>
        <a:xfrm>
          <a:off x="5357622" y="32012892"/>
          <a:ext cx="152400" cy="53847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117</xdr:row>
      <xdr:rowOff>261621</xdr:rowOff>
    </xdr:from>
    <xdr:to>
      <xdr:col>4</xdr:col>
      <xdr:colOff>127</xdr:colOff>
      <xdr:row>117</xdr:row>
      <xdr:rowOff>261621</xdr:rowOff>
    </xdr:to>
    <xdr:cxnSp macro="_xll.PtreeEvent_ObjectClick">
      <xdr:nvCxnSpPr>
        <xdr:cNvPr id="4" name="PTObj_DBranchHLine_8_15">
          <a:extLst>
            <a:ext uri="{FF2B5EF4-FFF2-40B4-BE49-F238E27FC236}">
              <a16:creationId xmlns:a16="http://schemas.microsoft.com/office/drawing/2014/main" id="{D3896545-FF7B-4794-926F-97BBAC8A32CB}"/>
            </a:ext>
          </a:extLst>
        </xdr:cNvPr>
        <xdr:cNvCxnSpPr/>
      </xdr:nvCxnSpPr>
      <xdr:spPr>
        <a:xfrm>
          <a:off x="5510022" y="314845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117</xdr:row>
      <xdr:rowOff>261621</xdr:rowOff>
    </xdr:from>
    <xdr:to>
      <xdr:col>3</xdr:col>
      <xdr:colOff>280797</xdr:colOff>
      <xdr:row>119</xdr:row>
      <xdr:rowOff>256542</xdr:rowOff>
    </xdr:to>
    <xdr:cxnSp macro="_xll.PtreeEvent_ObjectClick">
      <xdr:nvCxnSpPr>
        <xdr:cNvPr id="5" name="PTObj_DBranchDLine_8_15">
          <a:extLst>
            <a:ext uri="{FF2B5EF4-FFF2-40B4-BE49-F238E27FC236}">
              <a16:creationId xmlns:a16="http://schemas.microsoft.com/office/drawing/2014/main" id="{AC981A55-6CE8-4BC0-8FAB-C77F87DA7517}"/>
            </a:ext>
          </a:extLst>
        </xdr:cNvPr>
        <xdr:cNvCxnSpPr/>
      </xdr:nvCxnSpPr>
      <xdr:spPr>
        <a:xfrm flipV="1">
          <a:off x="5357622" y="31484571"/>
          <a:ext cx="152400" cy="52832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119</xdr:row>
      <xdr:rowOff>261621</xdr:rowOff>
    </xdr:from>
    <xdr:to>
      <xdr:col>3</xdr:col>
      <xdr:colOff>127</xdr:colOff>
      <xdr:row>119</xdr:row>
      <xdr:rowOff>261621</xdr:rowOff>
    </xdr:to>
    <xdr:cxnSp macro="_xll.PtreeEvent_ObjectClick">
      <xdr:nvCxnSpPr>
        <xdr:cNvPr id="6" name="PTObj_DBranchHLine_8_14">
          <a:extLst>
            <a:ext uri="{FF2B5EF4-FFF2-40B4-BE49-F238E27FC236}">
              <a16:creationId xmlns:a16="http://schemas.microsoft.com/office/drawing/2014/main" id="{9E3083A4-614F-47F4-9EA3-8AAC8A263C12}"/>
            </a:ext>
          </a:extLst>
        </xdr:cNvPr>
        <xdr:cNvCxnSpPr/>
      </xdr:nvCxnSpPr>
      <xdr:spPr>
        <a:xfrm>
          <a:off x="3766947" y="320179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115</xdr:row>
      <xdr:rowOff>256542</xdr:rowOff>
    </xdr:from>
    <xdr:to>
      <xdr:col>2</xdr:col>
      <xdr:colOff>280797</xdr:colOff>
      <xdr:row>119</xdr:row>
      <xdr:rowOff>261621</xdr:rowOff>
    </xdr:to>
    <xdr:cxnSp macro="_xll.PtreeEvent_ObjectClick">
      <xdr:nvCxnSpPr>
        <xdr:cNvPr id="7" name="PTObj_DBranchDLine_8_14">
          <a:extLst>
            <a:ext uri="{FF2B5EF4-FFF2-40B4-BE49-F238E27FC236}">
              <a16:creationId xmlns:a16="http://schemas.microsoft.com/office/drawing/2014/main" id="{DB02EDBB-05B5-4B2E-A9DA-FC1924F24E96}"/>
            </a:ext>
          </a:extLst>
        </xdr:cNvPr>
        <xdr:cNvCxnSpPr/>
      </xdr:nvCxnSpPr>
      <xdr:spPr>
        <a:xfrm>
          <a:off x="3614547" y="30946092"/>
          <a:ext cx="152400" cy="107187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113</xdr:row>
      <xdr:rowOff>261621</xdr:rowOff>
    </xdr:from>
    <xdr:to>
      <xdr:col>3</xdr:col>
      <xdr:colOff>127</xdr:colOff>
      <xdr:row>113</xdr:row>
      <xdr:rowOff>261621</xdr:rowOff>
    </xdr:to>
    <xdr:cxnSp macro="_xll.PtreeEvent_ObjectClick">
      <xdr:nvCxnSpPr>
        <xdr:cNvPr id="8" name="PTObj_DBranchHLine_8_13">
          <a:extLst>
            <a:ext uri="{FF2B5EF4-FFF2-40B4-BE49-F238E27FC236}">
              <a16:creationId xmlns:a16="http://schemas.microsoft.com/office/drawing/2014/main" id="{9E4C539C-285B-44E1-85D0-1597A2A778FB}"/>
            </a:ext>
          </a:extLst>
        </xdr:cNvPr>
        <xdr:cNvCxnSpPr/>
      </xdr:nvCxnSpPr>
      <xdr:spPr>
        <a:xfrm>
          <a:off x="3766947" y="304177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113</xdr:row>
      <xdr:rowOff>261621</xdr:rowOff>
    </xdr:from>
    <xdr:to>
      <xdr:col>2</xdr:col>
      <xdr:colOff>280797</xdr:colOff>
      <xdr:row>115</xdr:row>
      <xdr:rowOff>256542</xdr:rowOff>
    </xdr:to>
    <xdr:cxnSp macro="_xll.PtreeEvent_ObjectClick">
      <xdr:nvCxnSpPr>
        <xdr:cNvPr id="9" name="PTObj_DBranchDLine_8_13">
          <a:extLst>
            <a:ext uri="{FF2B5EF4-FFF2-40B4-BE49-F238E27FC236}">
              <a16:creationId xmlns:a16="http://schemas.microsoft.com/office/drawing/2014/main" id="{D27AD68C-1331-4BB1-8152-A8A2EC6DAEC8}"/>
            </a:ext>
          </a:extLst>
        </xdr:cNvPr>
        <xdr:cNvCxnSpPr/>
      </xdr:nvCxnSpPr>
      <xdr:spPr>
        <a:xfrm flipV="1">
          <a:off x="3614547" y="30417771"/>
          <a:ext cx="152400" cy="52832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280797</xdr:colOff>
      <xdr:row>115</xdr:row>
      <xdr:rowOff>261621</xdr:rowOff>
    </xdr:from>
    <xdr:to>
      <xdr:col>2</xdr:col>
      <xdr:colOff>127</xdr:colOff>
      <xdr:row>115</xdr:row>
      <xdr:rowOff>261621</xdr:rowOff>
    </xdr:to>
    <xdr:cxnSp macro="_xll.PtreeEvent_ObjectClick">
      <xdr:nvCxnSpPr>
        <xdr:cNvPr id="10" name="PTObj_DBranchHLine_8_12">
          <a:extLst>
            <a:ext uri="{FF2B5EF4-FFF2-40B4-BE49-F238E27FC236}">
              <a16:creationId xmlns:a16="http://schemas.microsoft.com/office/drawing/2014/main" id="{A178086A-F243-4246-8F45-D4D233A2D3E6}"/>
            </a:ext>
          </a:extLst>
        </xdr:cNvPr>
        <xdr:cNvCxnSpPr/>
      </xdr:nvCxnSpPr>
      <xdr:spPr>
        <a:xfrm>
          <a:off x="2023872" y="309511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128397</xdr:colOff>
      <xdr:row>101</xdr:row>
      <xdr:rowOff>256542</xdr:rowOff>
    </xdr:from>
    <xdr:to>
      <xdr:col>1</xdr:col>
      <xdr:colOff>280797</xdr:colOff>
      <xdr:row>115</xdr:row>
      <xdr:rowOff>261621</xdr:rowOff>
    </xdr:to>
    <xdr:cxnSp macro="_xll.PtreeEvent_ObjectClick">
      <xdr:nvCxnSpPr>
        <xdr:cNvPr id="11" name="PTObj_DBranchDLine_8_12">
          <a:extLst>
            <a:ext uri="{FF2B5EF4-FFF2-40B4-BE49-F238E27FC236}">
              <a16:creationId xmlns:a16="http://schemas.microsoft.com/office/drawing/2014/main" id="{745079A8-FA7B-47B7-9CA3-99EC1DAAC690}"/>
            </a:ext>
          </a:extLst>
        </xdr:cNvPr>
        <xdr:cNvCxnSpPr/>
      </xdr:nvCxnSpPr>
      <xdr:spPr>
        <a:xfrm>
          <a:off x="1871472" y="27212292"/>
          <a:ext cx="152400" cy="373887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111</xdr:row>
      <xdr:rowOff>261621</xdr:rowOff>
    </xdr:from>
    <xdr:to>
      <xdr:col>4</xdr:col>
      <xdr:colOff>127</xdr:colOff>
      <xdr:row>111</xdr:row>
      <xdr:rowOff>261621</xdr:rowOff>
    </xdr:to>
    <xdr:cxnSp macro="_xll.PtreeEvent_ObjectClick">
      <xdr:nvCxnSpPr>
        <xdr:cNvPr id="12" name="PTObj_DBranchHLine_8_11">
          <a:extLst>
            <a:ext uri="{FF2B5EF4-FFF2-40B4-BE49-F238E27FC236}">
              <a16:creationId xmlns:a16="http://schemas.microsoft.com/office/drawing/2014/main" id="{F1F1D3C4-E221-4FF1-BE6B-7DA25F6BDA5E}"/>
            </a:ext>
          </a:extLst>
        </xdr:cNvPr>
        <xdr:cNvCxnSpPr/>
      </xdr:nvCxnSpPr>
      <xdr:spPr>
        <a:xfrm>
          <a:off x="5510022" y="298843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109</xdr:row>
      <xdr:rowOff>256542</xdr:rowOff>
    </xdr:from>
    <xdr:to>
      <xdr:col>3</xdr:col>
      <xdr:colOff>280797</xdr:colOff>
      <xdr:row>111</xdr:row>
      <xdr:rowOff>261621</xdr:rowOff>
    </xdr:to>
    <xdr:cxnSp macro="_xll.PtreeEvent_ObjectClick">
      <xdr:nvCxnSpPr>
        <xdr:cNvPr id="13" name="PTObj_DBranchDLine_8_11">
          <a:extLst>
            <a:ext uri="{FF2B5EF4-FFF2-40B4-BE49-F238E27FC236}">
              <a16:creationId xmlns:a16="http://schemas.microsoft.com/office/drawing/2014/main" id="{6C1ED536-4018-443C-A903-EC5321C64AC1}"/>
            </a:ext>
          </a:extLst>
        </xdr:cNvPr>
        <xdr:cNvCxnSpPr/>
      </xdr:nvCxnSpPr>
      <xdr:spPr>
        <a:xfrm>
          <a:off x="5357622" y="29345892"/>
          <a:ext cx="152400" cy="53847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107</xdr:row>
      <xdr:rowOff>261621</xdr:rowOff>
    </xdr:from>
    <xdr:to>
      <xdr:col>4</xdr:col>
      <xdr:colOff>127</xdr:colOff>
      <xdr:row>107</xdr:row>
      <xdr:rowOff>261621</xdr:rowOff>
    </xdr:to>
    <xdr:cxnSp macro="_xll.PtreeEvent_ObjectClick">
      <xdr:nvCxnSpPr>
        <xdr:cNvPr id="14" name="PTObj_DBranchHLine_8_10">
          <a:extLst>
            <a:ext uri="{FF2B5EF4-FFF2-40B4-BE49-F238E27FC236}">
              <a16:creationId xmlns:a16="http://schemas.microsoft.com/office/drawing/2014/main" id="{63DA8FCE-D15F-4B9D-8245-7F43A5DDB8EF}"/>
            </a:ext>
          </a:extLst>
        </xdr:cNvPr>
        <xdr:cNvCxnSpPr/>
      </xdr:nvCxnSpPr>
      <xdr:spPr>
        <a:xfrm>
          <a:off x="5510022" y="288175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107</xdr:row>
      <xdr:rowOff>261621</xdr:rowOff>
    </xdr:from>
    <xdr:to>
      <xdr:col>3</xdr:col>
      <xdr:colOff>280797</xdr:colOff>
      <xdr:row>109</xdr:row>
      <xdr:rowOff>256542</xdr:rowOff>
    </xdr:to>
    <xdr:cxnSp macro="_xll.PtreeEvent_ObjectClick">
      <xdr:nvCxnSpPr>
        <xdr:cNvPr id="15" name="PTObj_DBranchDLine_8_10">
          <a:extLst>
            <a:ext uri="{FF2B5EF4-FFF2-40B4-BE49-F238E27FC236}">
              <a16:creationId xmlns:a16="http://schemas.microsoft.com/office/drawing/2014/main" id="{D4BC813C-86E9-4A08-B88C-66ABB6A62D0A}"/>
            </a:ext>
          </a:extLst>
        </xdr:cNvPr>
        <xdr:cNvCxnSpPr/>
      </xdr:nvCxnSpPr>
      <xdr:spPr>
        <a:xfrm flipV="1">
          <a:off x="5357622" y="28817571"/>
          <a:ext cx="152400" cy="52832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109</xdr:row>
      <xdr:rowOff>261621</xdr:rowOff>
    </xdr:from>
    <xdr:to>
      <xdr:col>3</xdr:col>
      <xdr:colOff>127</xdr:colOff>
      <xdr:row>109</xdr:row>
      <xdr:rowOff>261621</xdr:rowOff>
    </xdr:to>
    <xdr:cxnSp macro="_xll.PtreeEvent_ObjectClick">
      <xdr:nvCxnSpPr>
        <xdr:cNvPr id="16" name="PTObj_DBranchHLine_8_9">
          <a:extLst>
            <a:ext uri="{FF2B5EF4-FFF2-40B4-BE49-F238E27FC236}">
              <a16:creationId xmlns:a16="http://schemas.microsoft.com/office/drawing/2014/main" id="{6EA25089-11A5-4B75-8638-EC34FBDD6A53}"/>
            </a:ext>
          </a:extLst>
        </xdr:cNvPr>
        <xdr:cNvCxnSpPr/>
      </xdr:nvCxnSpPr>
      <xdr:spPr>
        <a:xfrm>
          <a:off x="3766947" y="293509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105</xdr:row>
      <xdr:rowOff>256542</xdr:rowOff>
    </xdr:from>
    <xdr:to>
      <xdr:col>2</xdr:col>
      <xdr:colOff>280797</xdr:colOff>
      <xdr:row>109</xdr:row>
      <xdr:rowOff>261621</xdr:rowOff>
    </xdr:to>
    <xdr:cxnSp macro="_xll.PtreeEvent_ObjectClick">
      <xdr:nvCxnSpPr>
        <xdr:cNvPr id="17" name="PTObj_DBranchDLine_8_9">
          <a:extLst>
            <a:ext uri="{FF2B5EF4-FFF2-40B4-BE49-F238E27FC236}">
              <a16:creationId xmlns:a16="http://schemas.microsoft.com/office/drawing/2014/main" id="{8ACF84FE-3E3E-45C8-A9D5-D398950F7A65}"/>
            </a:ext>
          </a:extLst>
        </xdr:cNvPr>
        <xdr:cNvCxnSpPr/>
      </xdr:nvCxnSpPr>
      <xdr:spPr>
        <a:xfrm>
          <a:off x="3614547" y="28279092"/>
          <a:ext cx="152400" cy="107187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103</xdr:row>
      <xdr:rowOff>261621</xdr:rowOff>
    </xdr:from>
    <xdr:to>
      <xdr:col>3</xdr:col>
      <xdr:colOff>127</xdr:colOff>
      <xdr:row>103</xdr:row>
      <xdr:rowOff>261621</xdr:rowOff>
    </xdr:to>
    <xdr:cxnSp macro="_xll.PtreeEvent_ObjectClick">
      <xdr:nvCxnSpPr>
        <xdr:cNvPr id="18" name="PTObj_DBranchHLine_8_8">
          <a:extLst>
            <a:ext uri="{FF2B5EF4-FFF2-40B4-BE49-F238E27FC236}">
              <a16:creationId xmlns:a16="http://schemas.microsoft.com/office/drawing/2014/main" id="{83699762-8FED-4992-AA1B-8092F0354E73}"/>
            </a:ext>
          </a:extLst>
        </xdr:cNvPr>
        <xdr:cNvCxnSpPr/>
      </xdr:nvCxnSpPr>
      <xdr:spPr>
        <a:xfrm>
          <a:off x="3766947" y="277507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103</xdr:row>
      <xdr:rowOff>261621</xdr:rowOff>
    </xdr:from>
    <xdr:to>
      <xdr:col>2</xdr:col>
      <xdr:colOff>280797</xdr:colOff>
      <xdr:row>105</xdr:row>
      <xdr:rowOff>256542</xdr:rowOff>
    </xdr:to>
    <xdr:cxnSp macro="_xll.PtreeEvent_ObjectClick">
      <xdr:nvCxnSpPr>
        <xdr:cNvPr id="19" name="PTObj_DBranchDLine_8_8">
          <a:extLst>
            <a:ext uri="{FF2B5EF4-FFF2-40B4-BE49-F238E27FC236}">
              <a16:creationId xmlns:a16="http://schemas.microsoft.com/office/drawing/2014/main" id="{0959EC98-0B6E-4283-907E-1D5EF4D4CFBD}"/>
            </a:ext>
          </a:extLst>
        </xdr:cNvPr>
        <xdr:cNvCxnSpPr/>
      </xdr:nvCxnSpPr>
      <xdr:spPr>
        <a:xfrm flipV="1">
          <a:off x="3614547" y="27750771"/>
          <a:ext cx="152400" cy="52832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280797</xdr:colOff>
      <xdr:row>105</xdr:row>
      <xdr:rowOff>261621</xdr:rowOff>
    </xdr:from>
    <xdr:to>
      <xdr:col>2</xdr:col>
      <xdr:colOff>127</xdr:colOff>
      <xdr:row>105</xdr:row>
      <xdr:rowOff>261621</xdr:rowOff>
    </xdr:to>
    <xdr:cxnSp macro="_xll.PtreeEvent_ObjectClick">
      <xdr:nvCxnSpPr>
        <xdr:cNvPr id="20" name="PTObj_DBranchHLine_8_7">
          <a:extLst>
            <a:ext uri="{FF2B5EF4-FFF2-40B4-BE49-F238E27FC236}">
              <a16:creationId xmlns:a16="http://schemas.microsoft.com/office/drawing/2014/main" id="{B3D8C985-0A4D-473F-B8CB-57857738EA68}"/>
            </a:ext>
          </a:extLst>
        </xdr:cNvPr>
        <xdr:cNvCxnSpPr/>
      </xdr:nvCxnSpPr>
      <xdr:spPr>
        <a:xfrm>
          <a:off x="2023872" y="282841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128397</xdr:colOff>
      <xdr:row>101</xdr:row>
      <xdr:rowOff>256542</xdr:rowOff>
    </xdr:from>
    <xdr:to>
      <xdr:col>1</xdr:col>
      <xdr:colOff>280797</xdr:colOff>
      <xdr:row>105</xdr:row>
      <xdr:rowOff>261621</xdr:rowOff>
    </xdr:to>
    <xdr:cxnSp macro="_xll.PtreeEvent_ObjectClick">
      <xdr:nvCxnSpPr>
        <xdr:cNvPr id="21" name="PTObj_DBranchDLine_8_7">
          <a:extLst>
            <a:ext uri="{FF2B5EF4-FFF2-40B4-BE49-F238E27FC236}">
              <a16:creationId xmlns:a16="http://schemas.microsoft.com/office/drawing/2014/main" id="{B65923CB-2F9E-446D-933D-249722399CD6}"/>
            </a:ext>
          </a:extLst>
        </xdr:cNvPr>
        <xdr:cNvCxnSpPr/>
      </xdr:nvCxnSpPr>
      <xdr:spPr>
        <a:xfrm>
          <a:off x="1871472" y="27212292"/>
          <a:ext cx="152400" cy="107187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99</xdr:row>
      <xdr:rowOff>261621</xdr:rowOff>
    </xdr:from>
    <xdr:to>
      <xdr:col>4</xdr:col>
      <xdr:colOff>127</xdr:colOff>
      <xdr:row>99</xdr:row>
      <xdr:rowOff>261621</xdr:rowOff>
    </xdr:to>
    <xdr:cxnSp macro="_xll.PtreeEvent_ObjectClick">
      <xdr:nvCxnSpPr>
        <xdr:cNvPr id="22" name="PTObj_DBranchHLine_8_6">
          <a:extLst>
            <a:ext uri="{FF2B5EF4-FFF2-40B4-BE49-F238E27FC236}">
              <a16:creationId xmlns:a16="http://schemas.microsoft.com/office/drawing/2014/main" id="{07DDA40A-368E-498B-9570-F851B4855C93}"/>
            </a:ext>
          </a:extLst>
        </xdr:cNvPr>
        <xdr:cNvCxnSpPr/>
      </xdr:nvCxnSpPr>
      <xdr:spPr>
        <a:xfrm>
          <a:off x="5510022" y="26683971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97</xdr:row>
      <xdr:rowOff>256539</xdr:rowOff>
    </xdr:from>
    <xdr:to>
      <xdr:col>3</xdr:col>
      <xdr:colOff>280797</xdr:colOff>
      <xdr:row>99</xdr:row>
      <xdr:rowOff>261621</xdr:rowOff>
    </xdr:to>
    <xdr:cxnSp macro="_xll.PtreeEvent_ObjectClick">
      <xdr:nvCxnSpPr>
        <xdr:cNvPr id="23" name="PTObj_DBranchDLine_8_6">
          <a:extLst>
            <a:ext uri="{FF2B5EF4-FFF2-40B4-BE49-F238E27FC236}">
              <a16:creationId xmlns:a16="http://schemas.microsoft.com/office/drawing/2014/main" id="{1B235E36-2841-4519-A1F2-1ECEBAFE2D3B}"/>
            </a:ext>
          </a:extLst>
        </xdr:cNvPr>
        <xdr:cNvCxnSpPr/>
      </xdr:nvCxnSpPr>
      <xdr:spPr>
        <a:xfrm>
          <a:off x="5357622" y="26145489"/>
          <a:ext cx="152400" cy="538482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95</xdr:row>
      <xdr:rowOff>261620</xdr:rowOff>
    </xdr:from>
    <xdr:to>
      <xdr:col>4</xdr:col>
      <xdr:colOff>127</xdr:colOff>
      <xdr:row>95</xdr:row>
      <xdr:rowOff>261620</xdr:rowOff>
    </xdr:to>
    <xdr:cxnSp macro="_xll.PtreeEvent_ObjectClick">
      <xdr:nvCxnSpPr>
        <xdr:cNvPr id="24" name="PTObj_DBranchHLine_8_5">
          <a:extLst>
            <a:ext uri="{FF2B5EF4-FFF2-40B4-BE49-F238E27FC236}">
              <a16:creationId xmlns:a16="http://schemas.microsoft.com/office/drawing/2014/main" id="{C3417F05-9FD9-4CD1-A941-1A074DEED5E1}"/>
            </a:ext>
          </a:extLst>
        </xdr:cNvPr>
        <xdr:cNvCxnSpPr/>
      </xdr:nvCxnSpPr>
      <xdr:spPr>
        <a:xfrm>
          <a:off x="5510022" y="256171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95</xdr:row>
      <xdr:rowOff>261620</xdr:rowOff>
    </xdr:from>
    <xdr:to>
      <xdr:col>3</xdr:col>
      <xdr:colOff>280797</xdr:colOff>
      <xdr:row>97</xdr:row>
      <xdr:rowOff>256539</xdr:rowOff>
    </xdr:to>
    <xdr:cxnSp macro="_xll.PtreeEvent_ObjectClick">
      <xdr:nvCxnSpPr>
        <xdr:cNvPr id="25" name="PTObj_DBranchDLine_8_5">
          <a:extLst>
            <a:ext uri="{FF2B5EF4-FFF2-40B4-BE49-F238E27FC236}">
              <a16:creationId xmlns:a16="http://schemas.microsoft.com/office/drawing/2014/main" id="{74048AD5-BE04-4FE4-AD07-B7FC34122FC2}"/>
            </a:ext>
          </a:extLst>
        </xdr:cNvPr>
        <xdr:cNvCxnSpPr/>
      </xdr:nvCxnSpPr>
      <xdr:spPr>
        <a:xfrm flipV="1">
          <a:off x="5357622" y="256171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97</xdr:row>
      <xdr:rowOff>261620</xdr:rowOff>
    </xdr:from>
    <xdr:to>
      <xdr:col>3</xdr:col>
      <xdr:colOff>127</xdr:colOff>
      <xdr:row>97</xdr:row>
      <xdr:rowOff>261620</xdr:rowOff>
    </xdr:to>
    <xdr:cxnSp macro="_xll.PtreeEvent_ObjectClick">
      <xdr:nvCxnSpPr>
        <xdr:cNvPr id="26" name="PTObj_DBranchHLine_8_4">
          <a:extLst>
            <a:ext uri="{FF2B5EF4-FFF2-40B4-BE49-F238E27FC236}">
              <a16:creationId xmlns:a16="http://schemas.microsoft.com/office/drawing/2014/main" id="{4F5459DA-4A3F-4B62-8E5E-09299DC2019D}"/>
            </a:ext>
          </a:extLst>
        </xdr:cNvPr>
        <xdr:cNvCxnSpPr/>
      </xdr:nvCxnSpPr>
      <xdr:spPr>
        <a:xfrm>
          <a:off x="3766947" y="261505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93</xdr:row>
      <xdr:rowOff>256539</xdr:rowOff>
    </xdr:from>
    <xdr:to>
      <xdr:col>2</xdr:col>
      <xdr:colOff>280797</xdr:colOff>
      <xdr:row>97</xdr:row>
      <xdr:rowOff>261620</xdr:rowOff>
    </xdr:to>
    <xdr:cxnSp macro="_xll.PtreeEvent_ObjectClick">
      <xdr:nvCxnSpPr>
        <xdr:cNvPr id="27" name="PTObj_DBranchDLine_8_4">
          <a:extLst>
            <a:ext uri="{FF2B5EF4-FFF2-40B4-BE49-F238E27FC236}">
              <a16:creationId xmlns:a16="http://schemas.microsoft.com/office/drawing/2014/main" id="{17A495C4-BF34-4C41-8824-B696F1442594}"/>
            </a:ext>
          </a:extLst>
        </xdr:cNvPr>
        <xdr:cNvCxnSpPr/>
      </xdr:nvCxnSpPr>
      <xdr:spPr>
        <a:xfrm>
          <a:off x="3614547" y="25078689"/>
          <a:ext cx="152400" cy="10718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91</xdr:row>
      <xdr:rowOff>261620</xdr:rowOff>
    </xdr:from>
    <xdr:to>
      <xdr:col>3</xdr:col>
      <xdr:colOff>127</xdr:colOff>
      <xdr:row>91</xdr:row>
      <xdr:rowOff>261620</xdr:rowOff>
    </xdr:to>
    <xdr:cxnSp macro="_xll.PtreeEvent_ObjectClick">
      <xdr:nvCxnSpPr>
        <xdr:cNvPr id="28" name="PTObj_DBranchHLine_8_3">
          <a:extLst>
            <a:ext uri="{FF2B5EF4-FFF2-40B4-BE49-F238E27FC236}">
              <a16:creationId xmlns:a16="http://schemas.microsoft.com/office/drawing/2014/main" id="{A693FF65-BCDD-4111-A8D8-9B2DD6492D86}"/>
            </a:ext>
          </a:extLst>
        </xdr:cNvPr>
        <xdr:cNvCxnSpPr/>
      </xdr:nvCxnSpPr>
      <xdr:spPr>
        <a:xfrm>
          <a:off x="3766947" y="245503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91</xdr:row>
      <xdr:rowOff>261620</xdr:rowOff>
    </xdr:from>
    <xdr:to>
      <xdr:col>2</xdr:col>
      <xdr:colOff>280797</xdr:colOff>
      <xdr:row>93</xdr:row>
      <xdr:rowOff>256539</xdr:rowOff>
    </xdr:to>
    <xdr:cxnSp macro="_xll.PtreeEvent_ObjectClick">
      <xdr:nvCxnSpPr>
        <xdr:cNvPr id="29" name="PTObj_DBranchDLine_8_3">
          <a:extLst>
            <a:ext uri="{FF2B5EF4-FFF2-40B4-BE49-F238E27FC236}">
              <a16:creationId xmlns:a16="http://schemas.microsoft.com/office/drawing/2014/main" id="{D5223C54-B637-4EBC-A56A-C80DEFAAC8C0}"/>
            </a:ext>
          </a:extLst>
        </xdr:cNvPr>
        <xdr:cNvCxnSpPr/>
      </xdr:nvCxnSpPr>
      <xdr:spPr>
        <a:xfrm flipV="1">
          <a:off x="3614547" y="245503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280797</xdr:colOff>
      <xdr:row>93</xdr:row>
      <xdr:rowOff>261620</xdr:rowOff>
    </xdr:from>
    <xdr:to>
      <xdr:col>2</xdr:col>
      <xdr:colOff>127</xdr:colOff>
      <xdr:row>93</xdr:row>
      <xdr:rowOff>261620</xdr:rowOff>
    </xdr:to>
    <xdr:cxnSp macro="_xll.PtreeEvent_ObjectClick">
      <xdr:nvCxnSpPr>
        <xdr:cNvPr id="30" name="PTObj_DBranchHLine_8_2">
          <a:extLst>
            <a:ext uri="{FF2B5EF4-FFF2-40B4-BE49-F238E27FC236}">
              <a16:creationId xmlns:a16="http://schemas.microsoft.com/office/drawing/2014/main" id="{0F763979-48C2-4C7A-B3E9-D361454C363D}"/>
            </a:ext>
          </a:extLst>
        </xdr:cNvPr>
        <xdr:cNvCxnSpPr/>
      </xdr:nvCxnSpPr>
      <xdr:spPr>
        <a:xfrm>
          <a:off x="2023872" y="250837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128397</xdr:colOff>
      <xdr:row>93</xdr:row>
      <xdr:rowOff>261620</xdr:rowOff>
    </xdr:from>
    <xdr:to>
      <xdr:col>1</xdr:col>
      <xdr:colOff>280797</xdr:colOff>
      <xdr:row>101</xdr:row>
      <xdr:rowOff>256542</xdr:rowOff>
    </xdr:to>
    <xdr:cxnSp macro="_xll.PtreeEvent_ObjectClick">
      <xdr:nvCxnSpPr>
        <xdr:cNvPr id="31" name="PTObj_DBranchDLine_8_2">
          <a:extLst>
            <a:ext uri="{FF2B5EF4-FFF2-40B4-BE49-F238E27FC236}">
              <a16:creationId xmlns:a16="http://schemas.microsoft.com/office/drawing/2014/main" id="{DBD1A7DE-A6A3-4100-99E0-A825262CD603}"/>
            </a:ext>
          </a:extLst>
        </xdr:cNvPr>
        <xdr:cNvCxnSpPr/>
      </xdr:nvCxnSpPr>
      <xdr:spPr>
        <a:xfrm flipV="1">
          <a:off x="1871472" y="25083770"/>
          <a:ext cx="152400" cy="2128522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177800</xdr:colOff>
      <xdr:row>101</xdr:row>
      <xdr:rowOff>261621</xdr:rowOff>
    </xdr:from>
    <xdr:to>
      <xdr:col>1</xdr:col>
      <xdr:colOff>127</xdr:colOff>
      <xdr:row>101</xdr:row>
      <xdr:rowOff>261621</xdr:rowOff>
    </xdr:to>
    <xdr:cxnSp macro="_xll.PtreeEvent_ObjectClick">
      <xdr:nvCxnSpPr>
        <xdr:cNvPr id="32" name="PTObj_DBranchHLine_8_1">
          <a:extLst>
            <a:ext uri="{FF2B5EF4-FFF2-40B4-BE49-F238E27FC236}">
              <a16:creationId xmlns:a16="http://schemas.microsoft.com/office/drawing/2014/main" id="{1B25EF45-94A3-4AFF-BFD7-F5D9AEABE26F}"/>
            </a:ext>
          </a:extLst>
        </xdr:cNvPr>
        <xdr:cNvCxnSpPr/>
      </xdr:nvCxnSpPr>
      <xdr:spPr>
        <a:xfrm>
          <a:off x="177800" y="27217371"/>
          <a:ext cx="1565402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82</xdr:row>
      <xdr:rowOff>261620</xdr:rowOff>
    </xdr:from>
    <xdr:to>
      <xdr:col>4</xdr:col>
      <xdr:colOff>127</xdr:colOff>
      <xdr:row>82</xdr:row>
      <xdr:rowOff>261620</xdr:rowOff>
    </xdr:to>
    <xdr:cxnSp macro="_xll.PtreeEvent_ObjectClick">
      <xdr:nvCxnSpPr>
        <xdr:cNvPr id="33" name="PTObj_DBranchHLine_7_16">
          <a:extLst>
            <a:ext uri="{FF2B5EF4-FFF2-40B4-BE49-F238E27FC236}">
              <a16:creationId xmlns:a16="http://schemas.microsoft.com/office/drawing/2014/main" id="{B185F602-4E74-4F2C-BD3E-F42F3C994186}"/>
            </a:ext>
          </a:extLst>
        </xdr:cNvPr>
        <xdr:cNvCxnSpPr/>
      </xdr:nvCxnSpPr>
      <xdr:spPr>
        <a:xfrm>
          <a:off x="5510022" y="221500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80</xdr:row>
      <xdr:rowOff>256539</xdr:rowOff>
    </xdr:from>
    <xdr:to>
      <xdr:col>3</xdr:col>
      <xdr:colOff>280797</xdr:colOff>
      <xdr:row>82</xdr:row>
      <xdr:rowOff>261620</xdr:rowOff>
    </xdr:to>
    <xdr:cxnSp macro="_xll.PtreeEvent_ObjectClick">
      <xdr:nvCxnSpPr>
        <xdr:cNvPr id="34" name="PTObj_DBranchDLine_7_16">
          <a:extLst>
            <a:ext uri="{FF2B5EF4-FFF2-40B4-BE49-F238E27FC236}">
              <a16:creationId xmlns:a16="http://schemas.microsoft.com/office/drawing/2014/main" id="{FF76F17F-C547-4CE9-8483-DCDE2E3802E5}"/>
            </a:ext>
          </a:extLst>
        </xdr:cNvPr>
        <xdr:cNvCxnSpPr/>
      </xdr:nvCxnSpPr>
      <xdr:spPr>
        <a:xfrm>
          <a:off x="5357622" y="21611589"/>
          <a:ext cx="152400" cy="5384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78</xdr:row>
      <xdr:rowOff>261620</xdr:rowOff>
    </xdr:from>
    <xdr:to>
      <xdr:col>4</xdr:col>
      <xdr:colOff>127</xdr:colOff>
      <xdr:row>78</xdr:row>
      <xdr:rowOff>261620</xdr:rowOff>
    </xdr:to>
    <xdr:cxnSp macro="_xll.PtreeEvent_ObjectClick">
      <xdr:nvCxnSpPr>
        <xdr:cNvPr id="35" name="PTObj_DBranchHLine_7_15">
          <a:extLst>
            <a:ext uri="{FF2B5EF4-FFF2-40B4-BE49-F238E27FC236}">
              <a16:creationId xmlns:a16="http://schemas.microsoft.com/office/drawing/2014/main" id="{ED64FC2C-53EE-482A-9A4E-832EB54C93B0}"/>
            </a:ext>
          </a:extLst>
        </xdr:cNvPr>
        <xdr:cNvCxnSpPr/>
      </xdr:nvCxnSpPr>
      <xdr:spPr>
        <a:xfrm>
          <a:off x="5510022" y="210832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78</xdr:row>
      <xdr:rowOff>261620</xdr:rowOff>
    </xdr:from>
    <xdr:to>
      <xdr:col>3</xdr:col>
      <xdr:colOff>280797</xdr:colOff>
      <xdr:row>80</xdr:row>
      <xdr:rowOff>256539</xdr:rowOff>
    </xdr:to>
    <xdr:cxnSp macro="_xll.PtreeEvent_ObjectClick">
      <xdr:nvCxnSpPr>
        <xdr:cNvPr id="36" name="PTObj_DBranchDLine_7_15">
          <a:extLst>
            <a:ext uri="{FF2B5EF4-FFF2-40B4-BE49-F238E27FC236}">
              <a16:creationId xmlns:a16="http://schemas.microsoft.com/office/drawing/2014/main" id="{022FD158-524C-4803-A771-D29F4201CE27}"/>
            </a:ext>
          </a:extLst>
        </xdr:cNvPr>
        <xdr:cNvCxnSpPr/>
      </xdr:nvCxnSpPr>
      <xdr:spPr>
        <a:xfrm flipV="1">
          <a:off x="5357622" y="210832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80</xdr:row>
      <xdr:rowOff>261620</xdr:rowOff>
    </xdr:from>
    <xdr:to>
      <xdr:col>3</xdr:col>
      <xdr:colOff>127</xdr:colOff>
      <xdr:row>80</xdr:row>
      <xdr:rowOff>261620</xdr:rowOff>
    </xdr:to>
    <xdr:cxnSp macro="_xll.PtreeEvent_ObjectClick">
      <xdr:nvCxnSpPr>
        <xdr:cNvPr id="37" name="PTObj_DBranchHLine_7_14">
          <a:extLst>
            <a:ext uri="{FF2B5EF4-FFF2-40B4-BE49-F238E27FC236}">
              <a16:creationId xmlns:a16="http://schemas.microsoft.com/office/drawing/2014/main" id="{81B000B7-1DC8-4F92-A030-A157B495A0BC}"/>
            </a:ext>
          </a:extLst>
        </xdr:cNvPr>
        <xdr:cNvCxnSpPr/>
      </xdr:nvCxnSpPr>
      <xdr:spPr>
        <a:xfrm>
          <a:off x="3766947" y="216166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76</xdr:row>
      <xdr:rowOff>256539</xdr:rowOff>
    </xdr:from>
    <xdr:to>
      <xdr:col>2</xdr:col>
      <xdr:colOff>280797</xdr:colOff>
      <xdr:row>80</xdr:row>
      <xdr:rowOff>261620</xdr:rowOff>
    </xdr:to>
    <xdr:cxnSp macro="_xll.PtreeEvent_ObjectClick">
      <xdr:nvCxnSpPr>
        <xdr:cNvPr id="38" name="PTObj_DBranchDLine_7_14">
          <a:extLst>
            <a:ext uri="{FF2B5EF4-FFF2-40B4-BE49-F238E27FC236}">
              <a16:creationId xmlns:a16="http://schemas.microsoft.com/office/drawing/2014/main" id="{8076502E-3594-47C0-A073-07573F62CB72}"/>
            </a:ext>
          </a:extLst>
        </xdr:cNvPr>
        <xdr:cNvCxnSpPr/>
      </xdr:nvCxnSpPr>
      <xdr:spPr>
        <a:xfrm>
          <a:off x="3614547" y="20544789"/>
          <a:ext cx="152400" cy="10718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74</xdr:row>
      <xdr:rowOff>261620</xdr:rowOff>
    </xdr:from>
    <xdr:to>
      <xdr:col>3</xdr:col>
      <xdr:colOff>127</xdr:colOff>
      <xdr:row>74</xdr:row>
      <xdr:rowOff>261620</xdr:rowOff>
    </xdr:to>
    <xdr:cxnSp macro="_xll.PtreeEvent_ObjectClick">
      <xdr:nvCxnSpPr>
        <xdr:cNvPr id="39" name="PTObj_DBranchHLine_7_13">
          <a:extLst>
            <a:ext uri="{FF2B5EF4-FFF2-40B4-BE49-F238E27FC236}">
              <a16:creationId xmlns:a16="http://schemas.microsoft.com/office/drawing/2014/main" id="{DA19AA1D-9386-4A0F-A58E-C1FA8AA6A0E1}"/>
            </a:ext>
          </a:extLst>
        </xdr:cNvPr>
        <xdr:cNvCxnSpPr/>
      </xdr:nvCxnSpPr>
      <xdr:spPr>
        <a:xfrm>
          <a:off x="3766947" y="200164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74</xdr:row>
      <xdr:rowOff>261620</xdr:rowOff>
    </xdr:from>
    <xdr:to>
      <xdr:col>2</xdr:col>
      <xdr:colOff>280797</xdr:colOff>
      <xdr:row>76</xdr:row>
      <xdr:rowOff>256539</xdr:rowOff>
    </xdr:to>
    <xdr:cxnSp macro="_xll.PtreeEvent_ObjectClick">
      <xdr:nvCxnSpPr>
        <xdr:cNvPr id="40" name="PTObj_DBranchDLine_7_13">
          <a:extLst>
            <a:ext uri="{FF2B5EF4-FFF2-40B4-BE49-F238E27FC236}">
              <a16:creationId xmlns:a16="http://schemas.microsoft.com/office/drawing/2014/main" id="{EE10A19F-4FE1-4CEB-94FB-35C699A07D1F}"/>
            </a:ext>
          </a:extLst>
        </xdr:cNvPr>
        <xdr:cNvCxnSpPr/>
      </xdr:nvCxnSpPr>
      <xdr:spPr>
        <a:xfrm flipV="1">
          <a:off x="3614547" y="200164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280797</xdr:colOff>
      <xdr:row>76</xdr:row>
      <xdr:rowOff>261620</xdr:rowOff>
    </xdr:from>
    <xdr:to>
      <xdr:col>2</xdr:col>
      <xdr:colOff>127</xdr:colOff>
      <xdr:row>76</xdr:row>
      <xdr:rowOff>261620</xdr:rowOff>
    </xdr:to>
    <xdr:cxnSp macro="_xll.PtreeEvent_ObjectClick">
      <xdr:nvCxnSpPr>
        <xdr:cNvPr id="41" name="PTObj_DBranchHLine_7_4">
          <a:extLst>
            <a:ext uri="{FF2B5EF4-FFF2-40B4-BE49-F238E27FC236}">
              <a16:creationId xmlns:a16="http://schemas.microsoft.com/office/drawing/2014/main" id="{589CBC93-BFC4-4A33-BCB7-485F58A38F6B}"/>
            </a:ext>
          </a:extLst>
        </xdr:cNvPr>
        <xdr:cNvCxnSpPr/>
      </xdr:nvCxnSpPr>
      <xdr:spPr>
        <a:xfrm>
          <a:off x="2023872" y="205498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128397</xdr:colOff>
      <xdr:row>62</xdr:row>
      <xdr:rowOff>256539</xdr:rowOff>
    </xdr:from>
    <xdr:to>
      <xdr:col>1</xdr:col>
      <xdr:colOff>280797</xdr:colOff>
      <xdr:row>76</xdr:row>
      <xdr:rowOff>261620</xdr:rowOff>
    </xdr:to>
    <xdr:cxnSp macro="_xll.PtreeEvent_ObjectClick">
      <xdr:nvCxnSpPr>
        <xdr:cNvPr id="42" name="PTObj_DBranchDLine_7_4">
          <a:extLst>
            <a:ext uri="{FF2B5EF4-FFF2-40B4-BE49-F238E27FC236}">
              <a16:creationId xmlns:a16="http://schemas.microsoft.com/office/drawing/2014/main" id="{8DA0E7EA-E8AB-4EA3-A9A9-4597AD3D6A2D}"/>
            </a:ext>
          </a:extLst>
        </xdr:cNvPr>
        <xdr:cNvCxnSpPr/>
      </xdr:nvCxnSpPr>
      <xdr:spPr>
        <a:xfrm>
          <a:off x="1871472" y="16810989"/>
          <a:ext cx="152400" cy="37388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72</xdr:row>
      <xdr:rowOff>261620</xdr:rowOff>
    </xdr:from>
    <xdr:to>
      <xdr:col>4</xdr:col>
      <xdr:colOff>127</xdr:colOff>
      <xdr:row>72</xdr:row>
      <xdr:rowOff>261620</xdr:rowOff>
    </xdr:to>
    <xdr:cxnSp macro="_xll.PtreeEvent_ObjectClick">
      <xdr:nvCxnSpPr>
        <xdr:cNvPr id="43" name="PTObj_DBranchHLine_7_12">
          <a:extLst>
            <a:ext uri="{FF2B5EF4-FFF2-40B4-BE49-F238E27FC236}">
              <a16:creationId xmlns:a16="http://schemas.microsoft.com/office/drawing/2014/main" id="{01E4B451-AE31-456A-B921-E13BBE6BDCBF}"/>
            </a:ext>
          </a:extLst>
        </xdr:cNvPr>
        <xdr:cNvCxnSpPr/>
      </xdr:nvCxnSpPr>
      <xdr:spPr>
        <a:xfrm>
          <a:off x="5510022" y="194830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70</xdr:row>
      <xdr:rowOff>256539</xdr:rowOff>
    </xdr:from>
    <xdr:to>
      <xdr:col>3</xdr:col>
      <xdr:colOff>280797</xdr:colOff>
      <xdr:row>72</xdr:row>
      <xdr:rowOff>261620</xdr:rowOff>
    </xdr:to>
    <xdr:cxnSp macro="_xll.PtreeEvent_ObjectClick">
      <xdr:nvCxnSpPr>
        <xdr:cNvPr id="44" name="PTObj_DBranchDLine_7_12">
          <a:extLst>
            <a:ext uri="{FF2B5EF4-FFF2-40B4-BE49-F238E27FC236}">
              <a16:creationId xmlns:a16="http://schemas.microsoft.com/office/drawing/2014/main" id="{AEBB602E-ED7D-4915-8051-8315B0E518D4}"/>
            </a:ext>
          </a:extLst>
        </xdr:cNvPr>
        <xdr:cNvCxnSpPr/>
      </xdr:nvCxnSpPr>
      <xdr:spPr>
        <a:xfrm>
          <a:off x="5357622" y="18944589"/>
          <a:ext cx="152400" cy="5384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68</xdr:row>
      <xdr:rowOff>261620</xdr:rowOff>
    </xdr:from>
    <xdr:to>
      <xdr:col>4</xdr:col>
      <xdr:colOff>127</xdr:colOff>
      <xdr:row>68</xdr:row>
      <xdr:rowOff>261620</xdr:rowOff>
    </xdr:to>
    <xdr:cxnSp macro="_xll.PtreeEvent_ObjectClick">
      <xdr:nvCxnSpPr>
        <xdr:cNvPr id="45" name="PTObj_DBranchHLine_7_11">
          <a:extLst>
            <a:ext uri="{FF2B5EF4-FFF2-40B4-BE49-F238E27FC236}">
              <a16:creationId xmlns:a16="http://schemas.microsoft.com/office/drawing/2014/main" id="{30250DE1-4036-4F62-B038-41E7B5B990CD}"/>
            </a:ext>
          </a:extLst>
        </xdr:cNvPr>
        <xdr:cNvCxnSpPr/>
      </xdr:nvCxnSpPr>
      <xdr:spPr>
        <a:xfrm>
          <a:off x="5510022" y="184162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68</xdr:row>
      <xdr:rowOff>261620</xdr:rowOff>
    </xdr:from>
    <xdr:to>
      <xdr:col>3</xdr:col>
      <xdr:colOff>280797</xdr:colOff>
      <xdr:row>70</xdr:row>
      <xdr:rowOff>256539</xdr:rowOff>
    </xdr:to>
    <xdr:cxnSp macro="_xll.PtreeEvent_ObjectClick">
      <xdr:nvCxnSpPr>
        <xdr:cNvPr id="46" name="PTObj_DBranchDLine_7_11">
          <a:extLst>
            <a:ext uri="{FF2B5EF4-FFF2-40B4-BE49-F238E27FC236}">
              <a16:creationId xmlns:a16="http://schemas.microsoft.com/office/drawing/2014/main" id="{255AEC3C-4A75-4E62-9D45-3D8ED9DD489C}"/>
            </a:ext>
          </a:extLst>
        </xdr:cNvPr>
        <xdr:cNvCxnSpPr/>
      </xdr:nvCxnSpPr>
      <xdr:spPr>
        <a:xfrm flipV="1">
          <a:off x="5357622" y="184162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70</xdr:row>
      <xdr:rowOff>261620</xdr:rowOff>
    </xdr:from>
    <xdr:to>
      <xdr:col>3</xdr:col>
      <xdr:colOff>127</xdr:colOff>
      <xdr:row>70</xdr:row>
      <xdr:rowOff>261620</xdr:rowOff>
    </xdr:to>
    <xdr:cxnSp macro="_xll.PtreeEvent_ObjectClick">
      <xdr:nvCxnSpPr>
        <xdr:cNvPr id="47" name="PTObj_DBranchHLine_7_10">
          <a:extLst>
            <a:ext uri="{FF2B5EF4-FFF2-40B4-BE49-F238E27FC236}">
              <a16:creationId xmlns:a16="http://schemas.microsoft.com/office/drawing/2014/main" id="{FD514222-6D08-44AA-ABF7-C533C733EDFC}"/>
            </a:ext>
          </a:extLst>
        </xdr:cNvPr>
        <xdr:cNvCxnSpPr/>
      </xdr:nvCxnSpPr>
      <xdr:spPr>
        <a:xfrm>
          <a:off x="3766947" y="189496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66</xdr:row>
      <xdr:rowOff>256539</xdr:rowOff>
    </xdr:from>
    <xdr:to>
      <xdr:col>2</xdr:col>
      <xdr:colOff>280797</xdr:colOff>
      <xdr:row>70</xdr:row>
      <xdr:rowOff>261620</xdr:rowOff>
    </xdr:to>
    <xdr:cxnSp macro="_xll.PtreeEvent_ObjectClick">
      <xdr:nvCxnSpPr>
        <xdr:cNvPr id="48" name="PTObj_DBranchDLine_7_10">
          <a:extLst>
            <a:ext uri="{FF2B5EF4-FFF2-40B4-BE49-F238E27FC236}">
              <a16:creationId xmlns:a16="http://schemas.microsoft.com/office/drawing/2014/main" id="{89FEDBF9-1021-445B-8F6E-033472AF5995}"/>
            </a:ext>
          </a:extLst>
        </xdr:cNvPr>
        <xdr:cNvCxnSpPr/>
      </xdr:nvCxnSpPr>
      <xdr:spPr>
        <a:xfrm>
          <a:off x="3614547" y="17877789"/>
          <a:ext cx="152400" cy="10718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64</xdr:row>
      <xdr:rowOff>261620</xdr:rowOff>
    </xdr:from>
    <xdr:to>
      <xdr:col>3</xdr:col>
      <xdr:colOff>127</xdr:colOff>
      <xdr:row>64</xdr:row>
      <xdr:rowOff>261620</xdr:rowOff>
    </xdr:to>
    <xdr:cxnSp macro="_xll.PtreeEvent_ObjectClick">
      <xdr:nvCxnSpPr>
        <xdr:cNvPr id="49" name="PTObj_DBranchHLine_7_9">
          <a:extLst>
            <a:ext uri="{FF2B5EF4-FFF2-40B4-BE49-F238E27FC236}">
              <a16:creationId xmlns:a16="http://schemas.microsoft.com/office/drawing/2014/main" id="{120AB25C-F277-4CA7-8C4A-99E990D7AE32}"/>
            </a:ext>
          </a:extLst>
        </xdr:cNvPr>
        <xdr:cNvCxnSpPr/>
      </xdr:nvCxnSpPr>
      <xdr:spPr>
        <a:xfrm>
          <a:off x="3766947" y="173494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64</xdr:row>
      <xdr:rowOff>261620</xdr:rowOff>
    </xdr:from>
    <xdr:to>
      <xdr:col>2</xdr:col>
      <xdr:colOff>280797</xdr:colOff>
      <xdr:row>66</xdr:row>
      <xdr:rowOff>256539</xdr:rowOff>
    </xdr:to>
    <xdr:cxnSp macro="_xll.PtreeEvent_ObjectClick">
      <xdr:nvCxnSpPr>
        <xdr:cNvPr id="50" name="PTObj_DBranchDLine_7_9">
          <a:extLst>
            <a:ext uri="{FF2B5EF4-FFF2-40B4-BE49-F238E27FC236}">
              <a16:creationId xmlns:a16="http://schemas.microsoft.com/office/drawing/2014/main" id="{F26AF15A-1BE5-44DC-B955-3778ECBB30B9}"/>
            </a:ext>
          </a:extLst>
        </xdr:cNvPr>
        <xdr:cNvCxnSpPr/>
      </xdr:nvCxnSpPr>
      <xdr:spPr>
        <a:xfrm flipV="1">
          <a:off x="3614547" y="173494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280797</xdr:colOff>
      <xdr:row>66</xdr:row>
      <xdr:rowOff>261620</xdr:rowOff>
    </xdr:from>
    <xdr:to>
      <xdr:col>2</xdr:col>
      <xdr:colOff>127</xdr:colOff>
      <xdr:row>66</xdr:row>
      <xdr:rowOff>261620</xdr:rowOff>
    </xdr:to>
    <xdr:cxnSp macro="_xll.PtreeEvent_ObjectClick">
      <xdr:nvCxnSpPr>
        <xdr:cNvPr id="51" name="PTObj_DBranchHLine_7_3">
          <a:extLst>
            <a:ext uri="{FF2B5EF4-FFF2-40B4-BE49-F238E27FC236}">
              <a16:creationId xmlns:a16="http://schemas.microsoft.com/office/drawing/2014/main" id="{3E80CBA8-5C2C-4A9D-AF58-2812890FC681}"/>
            </a:ext>
          </a:extLst>
        </xdr:cNvPr>
        <xdr:cNvCxnSpPr/>
      </xdr:nvCxnSpPr>
      <xdr:spPr>
        <a:xfrm>
          <a:off x="2023872" y="178828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128397</xdr:colOff>
      <xdr:row>62</xdr:row>
      <xdr:rowOff>256539</xdr:rowOff>
    </xdr:from>
    <xdr:to>
      <xdr:col>1</xdr:col>
      <xdr:colOff>280797</xdr:colOff>
      <xdr:row>66</xdr:row>
      <xdr:rowOff>261620</xdr:rowOff>
    </xdr:to>
    <xdr:cxnSp macro="_xll.PtreeEvent_ObjectClick">
      <xdr:nvCxnSpPr>
        <xdr:cNvPr id="52" name="PTObj_DBranchDLine_7_3">
          <a:extLst>
            <a:ext uri="{FF2B5EF4-FFF2-40B4-BE49-F238E27FC236}">
              <a16:creationId xmlns:a16="http://schemas.microsoft.com/office/drawing/2014/main" id="{EAC5AC5E-846E-49BA-B9BC-12B6CCFD5C51}"/>
            </a:ext>
          </a:extLst>
        </xdr:cNvPr>
        <xdr:cNvCxnSpPr/>
      </xdr:nvCxnSpPr>
      <xdr:spPr>
        <a:xfrm>
          <a:off x="1871472" y="16810989"/>
          <a:ext cx="152400" cy="10718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60</xdr:row>
      <xdr:rowOff>261620</xdr:rowOff>
    </xdr:from>
    <xdr:to>
      <xdr:col>4</xdr:col>
      <xdr:colOff>127</xdr:colOff>
      <xdr:row>60</xdr:row>
      <xdr:rowOff>261620</xdr:rowOff>
    </xdr:to>
    <xdr:cxnSp macro="_xll.PtreeEvent_ObjectClick">
      <xdr:nvCxnSpPr>
        <xdr:cNvPr id="53" name="PTObj_DBranchHLine_7_8">
          <a:extLst>
            <a:ext uri="{FF2B5EF4-FFF2-40B4-BE49-F238E27FC236}">
              <a16:creationId xmlns:a16="http://schemas.microsoft.com/office/drawing/2014/main" id="{E54AA2E9-E581-4464-92C2-6117C903C9A9}"/>
            </a:ext>
          </a:extLst>
        </xdr:cNvPr>
        <xdr:cNvCxnSpPr/>
      </xdr:nvCxnSpPr>
      <xdr:spPr>
        <a:xfrm>
          <a:off x="5510022" y="162826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58</xdr:row>
      <xdr:rowOff>256539</xdr:rowOff>
    </xdr:from>
    <xdr:to>
      <xdr:col>3</xdr:col>
      <xdr:colOff>280797</xdr:colOff>
      <xdr:row>60</xdr:row>
      <xdr:rowOff>261620</xdr:rowOff>
    </xdr:to>
    <xdr:cxnSp macro="_xll.PtreeEvent_ObjectClick">
      <xdr:nvCxnSpPr>
        <xdr:cNvPr id="54" name="PTObj_DBranchDLine_7_8">
          <a:extLst>
            <a:ext uri="{FF2B5EF4-FFF2-40B4-BE49-F238E27FC236}">
              <a16:creationId xmlns:a16="http://schemas.microsoft.com/office/drawing/2014/main" id="{91B40952-A44B-4E8B-8705-D1BFA3510625}"/>
            </a:ext>
          </a:extLst>
        </xdr:cNvPr>
        <xdr:cNvCxnSpPr/>
      </xdr:nvCxnSpPr>
      <xdr:spPr>
        <a:xfrm>
          <a:off x="5357622" y="15744189"/>
          <a:ext cx="152400" cy="5384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280797</xdr:colOff>
      <xdr:row>56</xdr:row>
      <xdr:rowOff>261620</xdr:rowOff>
    </xdr:from>
    <xdr:to>
      <xdr:col>4</xdr:col>
      <xdr:colOff>127</xdr:colOff>
      <xdr:row>56</xdr:row>
      <xdr:rowOff>261620</xdr:rowOff>
    </xdr:to>
    <xdr:cxnSp macro="_xll.PtreeEvent_ObjectClick">
      <xdr:nvCxnSpPr>
        <xdr:cNvPr id="55" name="PTObj_DBranchHLine_7_7">
          <a:extLst>
            <a:ext uri="{FF2B5EF4-FFF2-40B4-BE49-F238E27FC236}">
              <a16:creationId xmlns:a16="http://schemas.microsoft.com/office/drawing/2014/main" id="{C4090139-75A5-47B8-B80E-6171329703ED}"/>
            </a:ext>
          </a:extLst>
        </xdr:cNvPr>
        <xdr:cNvCxnSpPr/>
      </xdr:nvCxnSpPr>
      <xdr:spPr>
        <a:xfrm>
          <a:off x="5510022" y="152158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128397</xdr:colOff>
      <xdr:row>56</xdr:row>
      <xdr:rowOff>261620</xdr:rowOff>
    </xdr:from>
    <xdr:to>
      <xdr:col>3</xdr:col>
      <xdr:colOff>280797</xdr:colOff>
      <xdr:row>58</xdr:row>
      <xdr:rowOff>256539</xdr:rowOff>
    </xdr:to>
    <xdr:cxnSp macro="_xll.PtreeEvent_ObjectClick">
      <xdr:nvCxnSpPr>
        <xdr:cNvPr id="56" name="PTObj_DBranchDLine_7_7">
          <a:extLst>
            <a:ext uri="{FF2B5EF4-FFF2-40B4-BE49-F238E27FC236}">
              <a16:creationId xmlns:a16="http://schemas.microsoft.com/office/drawing/2014/main" id="{FFFE6315-F02B-478A-8F19-AA436FE21312}"/>
            </a:ext>
          </a:extLst>
        </xdr:cNvPr>
        <xdr:cNvCxnSpPr/>
      </xdr:nvCxnSpPr>
      <xdr:spPr>
        <a:xfrm flipV="1">
          <a:off x="5357622" y="152158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58</xdr:row>
      <xdr:rowOff>261620</xdr:rowOff>
    </xdr:from>
    <xdr:to>
      <xdr:col>3</xdr:col>
      <xdr:colOff>127</xdr:colOff>
      <xdr:row>58</xdr:row>
      <xdr:rowOff>261620</xdr:rowOff>
    </xdr:to>
    <xdr:cxnSp macro="_xll.PtreeEvent_ObjectClick">
      <xdr:nvCxnSpPr>
        <xdr:cNvPr id="57" name="PTObj_DBranchHLine_7_6">
          <a:extLst>
            <a:ext uri="{FF2B5EF4-FFF2-40B4-BE49-F238E27FC236}">
              <a16:creationId xmlns:a16="http://schemas.microsoft.com/office/drawing/2014/main" id="{CB3EF84A-F360-43D6-BB6E-B1C3C33585FD}"/>
            </a:ext>
          </a:extLst>
        </xdr:cNvPr>
        <xdr:cNvCxnSpPr/>
      </xdr:nvCxnSpPr>
      <xdr:spPr>
        <a:xfrm>
          <a:off x="3766947" y="157492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54</xdr:row>
      <xdr:rowOff>256539</xdr:rowOff>
    </xdr:from>
    <xdr:to>
      <xdr:col>2</xdr:col>
      <xdr:colOff>280797</xdr:colOff>
      <xdr:row>58</xdr:row>
      <xdr:rowOff>261620</xdr:rowOff>
    </xdr:to>
    <xdr:cxnSp macro="_xll.PtreeEvent_ObjectClick">
      <xdr:nvCxnSpPr>
        <xdr:cNvPr id="58" name="PTObj_DBranchDLine_7_6">
          <a:extLst>
            <a:ext uri="{FF2B5EF4-FFF2-40B4-BE49-F238E27FC236}">
              <a16:creationId xmlns:a16="http://schemas.microsoft.com/office/drawing/2014/main" id="{4C14375F-FEB1-4B1F-9F47-8ADC366CF65B}"/>
            </a:ext>
          </a:extLst>
        </xdr:cNvPr>
        <xdr:cNvCxnSpPr/>
      </xdr:nvCxnSpPr>
      <xdr:spPr>
        <a:xfrm>
          <a:off x="3614547" y="14677389"/>
          <a:ext cx="152400" cy="1071881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280797</xdr:colOff>
      <xdr:row>52</xdr:row>
      <xdr:rowOff>261620</xdr:rowOff>
    </xdr:from>
    <xdr:to>
      <xdr:col>3</xdr:col>
      <xdr:colOff>127</xdr:colOff>
      <xdr:row>52</xdr:row>
      <xdr:rowOff>261620</xdr:rowOff>
    </xdr:to>
    <xdr:cxnSp macro="_xll.PtreeEvent_ObjectClick">
      <xdr:nvCxnSpPr>
        <xdr:cNvPr id="59" name="PTObj_DBranchHLine_7_5">
          <a:extLst>
            <a:ext uri="{FF2B5EF4-FFF2-40B4-BE49-F238E27FC236}">
              <a16:creationId xmlns:a16="http://schemas.microsoft.com/office/drawing/2014/main" id="{FABBAFAC-55B3-480F-921D-E27189AD3834}"/>
            </a:ext>
          </a:extLst>
        </xdr:cNvPr>
        <xdr:cNvCxnSpPr/>
      </xdr:nvCxnSpPr>
      <xdr:spPr>
        <a:xfrm>
          <a:off x="3766947" y="141490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128397</xdr:colOff>
      <xdr:row>52</xdr:row>
      <xdr:rowOff>261620</xdr:rowOff>
    </xdr:from>
    <xdr:to>
      <xdr:col>2</xdr:col>
      <xdr:colOff>280797</xdr:colOff>
      <xdr:row>54</xdr:row>
      <xdr:rowOff>256539</xdr:rowOff>
    </xdr:to>
    <xdr:cxnSp macro="_xll.PtreeEvent_ObjectClick">
      <xdr:nvCxnSpPr>
        <xdr:cNvPr id="60" name="PTObj_DBranchDLine_7_5">
          <a:extLst>
            <a:ext uri="{FF2B5EF4-FFF2-40B4-BE49-F238E27FC236}">
              <a16:creationId xmlns:a16="http://schemas.microsoft.com/office/drawing/2014/main" id="{78A5B53E-F855-4F50-82DA-CA3D618503D0}"/>
            </a:ext>
          </a:extLst>
        </xdr:cNvPr>
        <xdr:cNvCxnSpPr/>
      </xdr:nvCxnSpPr>
      <xdr:spPr>
        <a:xfrm flipV="1">
          <a:off x="3614547" y="14149070"/>
          <a:ext cx="152400" cy="5283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280797</xdr:colOff>
      <xdr:row>54</xdr:row>
      <xdr:rowOff>261620</xdr:rowOff>
    </xdr:from>
    <xdr:to>
      <xdr:col>2</xdr:col>
      <xdr:colOff>127</xdr:colOff>
      <xdr:row>54</xdr:row>
      <xdr:rowOff>261620</xdr:rowOff>
    </xdr:to>
    <xdr:cxnSp macro="_xll.PtreeEvent_ObjectClick">
      <xdr:nvCxnSpPr>
        <xdr:cNvPr id="61" name="PTObj_DBranchHLine_7_2">
          <a:extLst>
            <a:ext uri="{FF2B5EF4-FFF2-40B4-BE49-F238E27FC236}">
              <a16:creationId xmlns:a16="http://schemas.microsoft.com/office/drawing/2014/main" id="{917C6A75-84DE-4960-9E86-CDFA86630014}"/>
            </a:ext>
          </a:extLst>
        </xdr:cNvPr>
        <xdr:cNvCxnSpPr/>
      </xdr:nvCxnSpPr>
      <xdr:spPr>
        <a:xfrm>
          <a:off x="2023872" y="14682470"/>
          <a:ext cx="146240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128397</xdr:colOff>
      <xdr:row>54</xdr:row>
      <xdr:rowOff>261620</xdr:rowOff>
    </xdr:from>
    <xdr:to>
      <xdr:col>1</xdr:col>
      <xdr:colOff>280797</xdr:colOff>
      <xdr:row>62</xdr:row>
      <xdr:rowOff>256539</xdr:rowOff>
    </xdr:to>
    <xdr:cxnSp macro="_xll.PtreeEvent_ObjectClick">
      <xdr:nvCxnSpPr>
        <xdr:cNvPr id="62" name="PTObj_DBranchDLine_7_2">
          <a:extLst>
            <a:ext uri="{FF2B5EF4-FFF2-40B4-BE49-F238E27FC236}">
              <a16:creationId xmlns:a16="http://schemas.microsoft.com/office/drawing/2014/main" id="{4BEC6D5D-FCF4-40DB-B9C2-9D64D8C6338E}"/>
            </a:ext>
          </a:extLst>
        </xdr:cNvPr>
        <xdr:cNvCxnSpPr/>
      </xdr:nvCxnSpPr>
      <xdr:spPr>
        <a:xfrm flipV="1">
          <a:off x="1871472" y="14682470"/>
          <a:ext cx="152400" cy="2128519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177800</xdr:colOff>
      <xdr:row>62</xdr:row>
      <xdr:rowOff>261620</xdr:rowOff>
    </xdr:from>
    <xdr:to>
      <xdr:col>1</xdr:col>
      <xdr:colOff>127</xdr:colOff>
      <xdr:row>62</xdr:row>
      <xdr:rowOff>261620</xdr:rowOff>
    </xdr:to>
    <xdr:cxnSp macro="_xll.PtreeEvent_ObjectClick">
      <xdr:nvCxnSpPr>
        <xdr:cNvPr id="63" name="PTObj_DBranchHLine_7_1">
          <a:extLst>
            <a:ext uri="{FF2B5EF4-FFF2-40B4-BE49-F238E27FC236}">
              <a16:creationId xmlns:a16="http://schemas.microsoft.com/office/drawing/2014/main" id="{577C6E29-9327-4D54-A5BF-7833C1CFF533}"/>
            </a:ext>
          </a:extLst>
        </xdr:cNvPr>
        <xdr:cNvCxnSpPr/>
      </xdr:nvCxnSpPr>
      <xdr:spPr>
        <a:xfrm>
          <a:off x="177800" y="16816070"/>
          <a:ext cx="1565402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127</xdr:colOff>
      <xdr:row>62</xdr:row>
      <xdr:rowOff>128270</xdr:rowOff>
    </xdr:from>
    <xdr:to>
      <xdr:col>1</xdr:col>
      <xdr:colOff>266827</xdr:colOff>
      <xdr:row>63</xdr:row>
      <xdr:rowOff>128270</xdr:rowOff>
    </xdr:to>
    <xdr:sp macro="_xll.PtreeEvent_ObjectClick" textlink="">
      <xdr:nvSpPr>
        <xdr:cNvPr id="64" name="PTObj_DNode_7_1">
          <a:extLst>
            <a:ext uri="{FF2B5EF4-FFF2-40B4-BE49-F238E27FC236}">
              <a16:creationId xmlns:a16="http://schemas.microsoft.com/office/drawing/2014/main" id="{B7DED9FC-580A-4A4A-8425-F0B80125B9CF}"/>
            </a:ext>
          </a:extLst>
        </xdr:cNvPr>
        <xdr:cNvSpPr/>
      </xdr:nvSpPr>
      <xdr:spPr>
        <a:xfrm>
          <a:off x="1743202" y="16682720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215900</xdr:colOff>
      <xdr:row>62</xdr:row>
      <xdr:rowOff>171306</xdr:rowOff>
    </xdr:from>
    <xdr:ext cx="285591" cy="180627"/>
    <xdr:sp macro="_xll.PtreeEvent_ObjectClick" textlink="">
      <xdr:nvSpPr>
        <xdr:cNvPr id="65" name="PTObj_DBranchName_7_1">
          <a:extLst>
            <a:ext uri="{FF2B5EF4-FFF2-40B4-BE49-F238E27FC236}">
              <a16:creationId xmlns:a16="http://schemas.microsoft.com/office/drawing/2014/main" id="{3202BBC8-410C-4272-9A57-C55F186906F0}"/>
            </a:ext>
          </a:extLst>
        </xdr:cNvPr>
        <xdr:cNvSpPr txBox="1"/>
      </xdr:nvSpPr>
      <xdr:spPr>
        <a:xfrm>
          <a:off x="215900" y="16725756"/>
          <a:ext cx="28559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F tree</a:t>
          </a:r>
        </a:p>
      </xdr:txBody>
    </xdr:sp>
    <xdr:clientData/>
  </xdr:oneCellAnchor>
  <xdr:twoCellAnchor editAs="oneCell">
    <xdr:from>
      <xdr:col>2</xdr:col>
      <xdr:colOff>127</xdr:colOff>
      <xdr:row>54</xdr:row>
      <xdr:rowOff>128270</xdr:rowOff>
    </xdr:from>
    <xdr:to>
      <xdr:col>2</xdr:col>
      <xdr:colOff>266827</xdr:colOff>
      <xdr:row>55</xdr:row>
      <xdr:rowOff>128270</xdr:rowOff>
    </xdr:to>
    <xdr:sp macro="_xll.PtreeEvent_ObjectClick" textlink="">
      <xdr:nvSpPr>
        <xdr:cNvPr id="66" name="PTObj_DNode_7_2">
          <a:extLst>
            <a:ext uri="{FF2B5EF4-FFF2-40B4-BE49-F238E27FC236}">
              <a16:creationId xmlns:a16="http://schemas.microsoft.com/office/drawing/2014/main" id="{06934A51-4904-4EE2-AA51-8C15CE787348}"/>
            </a:ext>
          </a:extLst>
        </xdr:cNvPr>
        <xdr:cNvSpPr/>
      </xdr:nvSpPr>
      <xdr:spPr>
        <a:xfrm>
          <a:off x="3486277" y="14549120"/>
          <a:ext cx="266700" cy="2667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318897</xdr:colOff>
      <xdr:row>54</xdr:row>
      <xdr:rowOff>171306</xdr:rowOff>
    </xdr:from>
    <xdr:ext cx="107402" cy="180627"/>
    <xdr:sp macro="_xll.PtreeEvent_ObjectClick" textlink="">
      <xdr:nvSpPr>
        <xdr:cNvPr id="67" name="PTObj_DBranchName_7_2">
          <a:extLst>
            <a:ext uri="{FF2B5EF4-FFF2-40B4-BE49-F238E27FC236}">
              <a16:creationId xmlns:a16="http://schemas.microsoft.com/office/drawing/2014/main" id="{E6C46E41-5536-4C60-B83A-D9704274CC06}"/>
            </a:ext>
          </a:extLst>
        </xdr:cNvPr>
        <xdr:cNvSpPr txBox="1"/>
      </xdr:nvSpPr>
      <xdr:spPr>
        <a:xfrm>
          <a:off x="2061972" y="14592156"/>
          <a:ext cx="107402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0</a:t>
          </a:r>
        </a:p>
      </xdr:txBody>
    </xdr:sp>
    <xdr:clientData/>
  </xdr:oneCellAnchor>
  <xdr:twoCellAnchor editAs="oneCell">
    <xdr:from>
      <xdr:col>3</xdr:col>
      <xdr:colOff>127</xdr:colOff>
      <xdr:row>52</xdr:row>
      <xdr:rowOff>128270</xdr:rowOff>
    </xdr:from>
    <xdr:to>
      <xdr:col>3</xdr:col>
      <xdr:colOff>266827</xdr:colOff>
      <xdr:row>53</xdr:row>
      <xdr:rowOff>128270</xdr:rowOff>
    </xdr:to>
    <xdr:sp macro="_xll.PtreeEvent_ObjectClick" textlink="">
      <xdr:nvSpPr>
        <xdr:cNvPr id="68" name="PTObj_DNode_7_5">
          <a:extLst>
            <a:ext uri="{FF2B5EF4-FFF2-40B4-BE49-F238E27FC236}">
              <a16:creationId xmlns:a16="http://schemas.microsoft.com/office/drawing/2014/main" id="{42E20680-C5D2-41F5-9E80-D020D571B182}"/>
            </a:ext>
          </a:extLst>
        </xdr:cNvPr>
        <xdr:cNvSpPr/>
      </xdr:nvSpPr>
      <xdr:spPr>
        <a:xfrm rot="-5400000">
          <a:off x="5229352" y="140157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52</xdr:row>
      <xdr:rowOff>171306</xdr:rowOff>
    </xdr:from>
    <xdr:ext cx="289375" cy="180627"/>
    <xdr:sp macro="_xll.PtreeEvent_ObjectClick" textlink="">
      <xdr:nvSpPr>
        <xdr:cNvPr id="69" name="PTObj_DBranchName_7_5">
          <a:extLst>
            <a:ext uri="{FF2B5EF4-FFF2-40B4-BE49-F238E27FC236}">
              <a16:creationId xmlns:a16="http://schemas.microsoft.com/office/drawing/2014/main" id="{BA295020-BE5B-40A5-859C-15741A24822D}"/>
            </a:ext>
          </a:extLst>
        </xdr:cNvPr>
        <xdr:cNvSpPr txBox="1"/>
      </xdr:nvSpPr>
      <xdr:spPr>
        <a:xfrm>
          <a:off x="3805047" y="14058756"/>
          <a:ext cx="289375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reject</a:t>
          </a:r>
        </a:p>
      </xdr:txBody>
    </xdr:sp>
    <xdr:clientData/>
  </xdr:oneCellAnchor>
  <xdr:twoCellAnchor editAs="oneCell">
    <xdr:from>
      <xdr:col>3</xdr:col>
      <xdr:colOff>127</xdr:colOff>
      <xdr:row>58</xdr:row>
      <xdr:rowOff>128270</xdr:rowOff>
    </xdr:from>
    <xdr:to>
      <xdr:col>3</xdr:col>
      <xdr:colOff>266827</xdr:colOff>
      <xdr:row>59</xdr:row>
      <xdr:rowOff>128270</xdr:rowOff>
    </xdr:to>
    <xdr:sp macro="_xll.PtreeEvent_ObjectClick" textlink="">
      <xdr:nvSpPr>
        <xdr:cNvPr id="70" name="PTObj_DNode_7_6">
          <a:extLst>
            <a:ext uri="{FF2B5EF4-FFF2-40B4-BE49-F238E27FC236}">
              <a16:creationId xmlns:a16="http://schemas.microsoft.com/office/drawing/2014/main" id="{4704A3AB-4421-4BBA-9BF0-2570AF307911}"/>
            </a:ext>
          </a:extLst>
        </xdr:cNvPr>
        <xdr:cNvSpPr/>
      </xdr:nvSpPr>
      <xdr:spPr>
        <a:xfrm>
          <a:off x="5229352" y="15615920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58</xdr:row>
      <xdr:rowOff>171306</xdr:rowOff>
    </xdr:from>
    <xdr:ext cx="293157" cy="180627"/>
    <xdr:sp macro="_xll.PtreeEvent_ObjectClick" textlink="">
      <xdr:nvSpPr>
        <xdr:cNvPr id="71" name="PTObj_DBranchName_7_6">
          <a:extLst>
            <a:ext uri="{FF2B5EF4-FFF2-40B4-BE49-F238E27FC236}">
              <a16:creationId xmlns:a16="http://schemas.microsoft.com/office/drawing/2014/main" id="{2EBE28EA-26CF-4A92-B787-16164E1BEC8A}"/>
            </a:ext>
          </a:extLst>
        </xdr:cNvPr>
        <xdr:cNvSpPr txBox="1"/>
      </xdr:nvSpPr>
      <xdr:spPr>
        <a:xfrm>
          <a:off x="3805047" y="15658956"/>
          <a:ext cx="2931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adopt</a:t>
          </a:r>
        </a:p>
      </xdr:txBody>
    </xdr:sp>
    <xdr:clientData/>
  </xdr:oneCellAnchor>
  <xdr:twoCellAnchor editAs="oneCell">
    <xdr:from>
      <xdr:col>4</xdr:col>
      <xdr:colOff>127</xdr:colOff>
      <xdr:row>56</xdr:row>
      <xdr:rowOff>128270</xdr:rowOff>
    </xdr:from>
    <xdr:to>
      <xdr:col>4</xdr:col>
      <xdr:colOff>266827</xdr:colOff>
      <xdr:row>57</xdr:row>
      <xdr:rowOff>128270</xdr:rowOff>
    </xdr:to>
    <xdr:sp macro="_xll.PtreeEvent_ObjectClick" textlink="">
      <xdr:nvSpPr>
        <xdr:cNvPr id="72" name="PTObj_DNode_7_7">
          <a:extLst>
            <a:ext uri="{FF2B5EF4-FFF2-40B4-BE49-F238E27FC236}">
              <a16:creationId xmlns:a16="http://schemas.microsoft.com/office/drawing/2014/main" id="{C3C0F141-970C-480B-B844-99C33630D594}"/>
            </a:ext>
          </a:extLst>
        </xdr:cNvPr>
        <xdr:cNvSpPr/>
      </xdr:nvSpPr>
      <xdr:spPr>
        <a:xfrm rot="-5400000">
          <a:off x="6972427" y="150825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56</xdr:row>
      <xdr:rowOff>171306</xdr:rowOff>
    </xdr:from>
    <xdr:ext cx="199414" cy="180627"/>
    <xdr:sp macro="_xll.PtreeEvent_ObjectClick" textlink="">
      <xdr:nvSpPr>
        <xdr:cNvPr id="73" name="PTObj_DBranchName_7_7">
          <a:extLst>
            <a:ext uri="{FF2B5EF4-FFF2-40B4-BE49-F238E27FC236}">
              <a16:creationId xmlns:a16="http://schemas.microsoft.com/office/drawing/2014/main" id="{6FAFAC6B-9EE6-4F14-9643-6D286E83517E}"/>
            </a:ext>
          </a:extLst>
        </xdr:cNvPr>
        <xdr:cNvSpPr txBox="1"/>
      </xdr:nvSpPr>
      <xdr:spPr>
        <a:xfrm>
          <a:off x="5548122" y="15125556"/>
          <a:ext cx="199414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low</a:t>
          </a:r>
        </a:p>
      </xdr:txBody>
    </xdr:sp>
    <xdr:clientData/>
  </xdr:oneCellAnchor>
  <xdr:twoCellAnchor editAs="oneCell">
    <xdr:from>
      <xdr:col>4</xdr:col>
      <xdr:colOff>127</xdr:colOff>
      <xdr:row>60</xdr:row>
      <xdr:rowOff>128270</xdr:rowOff>
    </xdr:from>
    <xdr:to>
      <xdr:col>4</xdr:col>
      <xdr:colOff>266827</xdr:colOff>
      <xdr:row>61</xdr:row>
      <xdr:rowOff>128270</xdr:rowOff>
    </xdr:to>
    <xdr:sp macro="_xll.PtreeEvent_ObjectClick" textlink="">
      <xdr:nvSpPr>
        <xdr:cNvPr id="74" name="PTObj_DNode_7_8">
          <a:extLst>
            <a:ext uri="{FF2B5EF4-FFF2-40B4-BE49-F238E27FC236}">
              <a16:creationId xmlns:a16="http://schemas.microsoft.com/office/drawing/2014/main" id="{288D31D4-B55A-4D7F-8DE6-F2303B4FCAB4}"/>
            </a:ext>
          </a:extLst>
        </xdr:cNvPr>
        <xdr:cNvSpPr/>
      </xdr:nvSpPr>
      <xdr:spPr>
        <a:xfrm rot="-5400000">
          <a:off x="6972427" y="161493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60</xdr:row>
      <xdr:rowOff>171306</xdr:rowOff>
    </xdr:from>
    <xdr:ext cx="228589" cy="180627"/>
    <xdr:sp macro="_xll.PtreeEvent_ObjectClick" textlink="">
      <xdr:nvSpPr>
        <xdr:cNvPr id="75" name="PTObj_DBranchName_7_8">
          <a:extLst>
            <a:ext uri="{FF2B5EF4-FFF2-40B4-BE49-F238E27FC236}">
              <a16:creationId xmlns:a16="http://schemas.microsoft.com/office/drawing/2014/main" id="{217101C3-1D75-4F57-B237-DE23301A0109}"/>
            </a:ext>
          </a:extLst>
        </xdr:cNvPr>
        <xdr:cNvSpPr txBox="1"/>
      </xdr:nvSpPr>
      <xdr:spPr>
        <a:xfrm>
          <a:off x="5548122" y="16192356"/>
          <a:ext cx="228589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high</a:t>
          </a:r>
        </a:p>
      </xdr:txBody>
    </xdr:sp>
    <xdr:clientData/>
  </xdr:oneCellAnchor>
  <xdr:twoCellAnchor editAs="oneCell">
    <xdr:from>
      <xdr:col>2</xdr:col>
      <xdr:colOff>127</xdr:colOff>
      <xdr:row>66</xdr:row>
      <xdr:rowOff>128270</xdr:rowOff>
    </xdr:from>
    <xdr:to>
      <xdr:col>2</xdr:col>
      <xdr:colOff>266827</xdr:colOff>
      <xdr:row>67</xdr:row>
      <xdr:rowOff>128270</xdr:rowOff>
    </xdr:to>
    <xdr:sp macro="_xll.PtreeEvent_ObjectClick" textlink="">
      <xdr:nvSpPr>
        <xdr:cNvPr id="76" name="PTObj_DNode_7_3">
          <a:extLst>
            <a:ext uri="{FF2B5EF4-FFF2-40B4-BE49-F238E27FC236}">
              <a16:creationId xmlns:a16="http://schemas.microsoft.com/office/drawing/2014/main" id="{9C9BE675-B197-469D-B638-9D2433ED0BCB}"/>
            </a:ext>
          </a:extLst>
        </xdr:cNvPr>
        <xdr:cNvSpPr/>
      </xdr:nvSpPr>
      <xdr:spPr>
        <a:xfrm>
          <a:off x="3486277" y="17749520"/>
          <a:ext cx="266700" cy="2667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318897</xdr:colOff>
      <xdr:row>66</xdr:row>
      <xdr:rowOff>171306</xdr:rowOff>
    </xdr:from>
    <xdr:ext cx="107402" cy="180627"/>
    <xdr:sp macro="_xll.PtreeEvent_ObjectClick" textlink="">
      <xdr:nvSpPr>
        <xdr:cNvPr id="77" name="PTObj_DBranchName_7_3">
          <a:extLst>
            <a:ext uri="{FF2B5EF4-FFF2-40B4-BE49-F238E27FC236}">
              <a16:creationId xmlns:a16="http://schemas.microsoft.com/office/drawing/2014/main" id="{2E295B6B-5775-4CCD-BA31-7E5372FBE8A2}"/>
            </a:ext>
          </a:extLst>
        </xdr:cNvPr>
        <xdr:cNvSpPr txBox="1"/>
      </xdr:nvSpPr>
      <xdr:spPr>
        <a:xfrm>
          <a:off x="2061972" y="17792556"/>
          <a:ext cx="107402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1</a:t>
          </a:r>
        </a:p>
      </xdr:txBody>
    </xdr:sp>
    <xdr:clientData/>
  </xdr:oneCellAnchor>
  <xdr:twoCellAnchor editAs="oneCell">
    <xdr:from>
      <xdr:col>3</xdr:col>
      <xdr:colOff>127</xdr:colOff>
      <xdr:row>64</xdr:row>
      <xdr:rowOff>128270</xdr:rowOff>
    </xdr:from>
    <xdr:to>
      <xdr:col>3</xdr:col>
      <xdr:colOff>266827</xdr:colOff>
      <xdr:row>65</xdr:row>
      <xdr:rowOff>128270</xdr:rowOff>
    </xdr:to>
    <xdr:sp macro="_xll.PtreeEvent_ObjectClick" textlink="">
      <xdr:nvSpPr>
        <xdr:cNvPr id="78" name="PTObj_DNode_7_9">
          <a:extLst>
            <a:ext uri="{FF2B5EF4-FFF2-40B4-BE49-F238E27FC236}">
              <a16:creationId xmlns:a16="http://schemas.microsoft.com/office/drawing/2014/main" id="{AC898772-1486-467A-9A35-D18CAE4053A8}"/>
            </a:ext>
          </a:extLst>
        </xdr:cNvPr>
        <xdr:cNvSpPr/>
      </xdr:nvSpPr>
      <xdr:spPr>
        <a:xfrm rot="-5400000">
          <a:off x="5229352" y="172161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64</xdr:row>
      <xdr:rowOff>171306</xdr:rowOff>
    </xdr:from>
    <xdr:ext cx="289374" cy="180627"/>
    <xdr:sp macro="_xll.PtreeEvent_ObjectClick" textlink="">
      <xdr:nvSpPr>
        <xdr:cNvPr id="79" name="PTObj_DBranchName_7_9">
          <a:extLst>
            <a:ext uri="{FF2B5EF4-FFF2-40B4-BE49-F238E27FC236}">
              <a16:creationId xmlns:a16="http://schemas.microsoft.com/office/drawing/2014/main" id="{46008E11-FD4B-4141-8481-456EEB8672E3}"/>
            </a:ext>
          </a:extLst>
        </xdr:cNvPr>
        <xdr:cNvSpPr txBox="1"/>
      </xdr:nvSpPr>
      <xdr:spPr>
        <a:xfrm>
          <a:off x="3805047" y="17259156"/>
          <a:ext cx="28937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reject</a:t>
          </a:r>
        </a:p>
      </xdr:txBody>
    </xdr:sp>
    <xdr:clientData/>
  </xdr:oneCellAnchor>
  <xdr:twoCellAnchor editAs="oneCell">
    <xdr:from>
      <xdr:col>3</xdr:col>
      <xdr:colOff>127</xdr:colOff>
      <xdr:row>70</xdr:row>
      <xdr:rowOff>128270</xdr:rowOff>
    </xdr:from>
    <xdr:to>
      <xdr:col>3</xdr:col>
      <xdr:colOff>266827</xdr:colOff>
      <xdr:row>71</xdr:row>
      <xdr:rowOff>128270</xdr:rowOff>
    </xdr:to>
    <xdr:sp macro="_xll.PtreeEvent_ObjectClick" textlink="">
      <xdr:nvSpPr>
        <xdr:cNvPr id="80" name="PTObj_DNode_7_10">
          <a:extLst>
            <a:ext uri="{FF2B5EF4-FFF2-40B4-BE49-F238E27FC236}">
              <a16:creationId xmlns:a16="http://schemas.microsoft.com/office/drawing/2014/main" id="{90730A6F-3B5E-4CAF-98DA-130E58A9A6E1}"/>
            </a:ext>
          </a:extLst>
        </xdr:cNvPr>
        <xdr:cNvSpPr/>
      </xdr:nvSpPr>
      <xdr:spPr>
        <a:xfrm>
          <a:off x="5229352" y="18816320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70</xdr:row>
      <xdr:rowOff>171306</xdr:rowOff>
    </xdr:from>
    <xdr:ext cx="293157" cy="180627"/>
    <xdr:sp macro="_xll.PtreeEvent_ObjectClick" textlink="">
      <xdr:nvSpPr>
        <xdr:cNvPr id="81" name="PTObj_DBranchName_7_10">
          <a:extLst>
            <a:ext uri="{FF2B5EF4-FFF2-40B4-BE49-F238E27FC236}">
              <a16:creationId xmlns:a16="http://schemas.microsoft.com/office/drawing/2014/main" id="{37B29603-7073-46B7-9967-8FEBE4830F0C}"/>
            </a:ext>
          </a:extLst>
        </xdr:cNvPr>
        <xdr:cNvSpPr txBox="1"/>
      </xdr:nvSpPr>
      <xdr:spPr>
        <a:xfrm>
          <a:off x="3805047" y="18859356"/>
          <a:ext cx="2931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adopt</a:t>
          </a:r>
        </a:p>
      </xdr:txBody>
    </xdr:sp>
    <xdr:clientData/>
  </xdr:oneCellAnchor>
  <xdr:twoCellAnchor editAs="oneCell">
    <xdr:from>
      <xdr:col>4</xdr:col>
      <xdr:colOff>127</xdr:colOff>
      <xdr:row>68</xdr:row>
      <xdr:rowOff>128270</xdr:rowOff>
    </xdr:from>
    <xdr:to>
      <xdr:col>4</xdr:col>
      <xdr:colOff>266827</xdr:colOff>
      <xdr:row>69</xdr:row>
      <xdr:rowOff>128270</xdr:rowOff>
    </xdr:to>
    <xdr:sp macro="_xll.PtreeEvent_ObjectClick" textlink="">
      <xdr:nvSpPr>
        <xdr:cNvPr id="82" name="PTObj_DNode_7_11">
          <a:extLst>
            <a:ext uri="{FF2B5EF4-FFF2-40B4-BE49-F238E27FC236}">
              <a16:creationId xmlns:a16="http://schemas.microsoft.com/office/drawing/2014/main" id="{149D985C-ABD6-4E3D-A824-EBCF957568BF}"/>
            </a:ext>
          </a:extLst>
        </xdr:cNvPr>
        <xdr:cNvSpPr/>
      </xdr:nvSpPr>
      <xdr:spPr>
        <a:xfrm rot="-5400000">
          <a:off x="6972427" y="182829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68</xdr:row>
      <xdr:rowOff>171306</xdr:rowOff>
    </xdr:from>
    <xdr:ext cx="199414" cy="180627"/>
    <xdr:sp macro="_xll.PtreeEvent_ObjectClick" textlink="">
      <xdr:nvSpPr>
        <xdr:cNvPr id="83" name="PTObj_DBranchName_7_11">
          <a:extLst>
            <a:ext uri="{FF2B5EF4-FFF2-40B4-BE49-F238E27FC236}">
              <a16:creationId xmlns:a16="http://schemas.microsoft.com/office/drawing/2014/main" id="{8954BA0D-7D64-4EC9-9C78-1D827F80EF3F}"/>
            </a:ext>
          </a:extLst>
        </xdr:cNvPr>
        <xdr:cNvSpPr txBox="1"/>
      </xdr:nvSpPr>
      <xdr:spPr>
        <a:xfrm>
          <a:off x="5548122" y="18325956"/>
          <a:ext cx="19941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low</a:t>
          </a:r>
        </a:p>
      </xdr:txBody>
    </xdr:sp>
    <xdr:clientData/>
  </xdr:oneCellAnchor>
  <xdr:twoCellAnchor editAs="oneCell">
    <xdr:from>
      <xdr:col>4</xdr:col>
      <xdr:colOff>127</xdr:colOff>
      <xdr:row>72</xdr:row>
      <xdr:rowOff>128270</xdr:rowOff>
    </xdr:from>
    <xdr:to>
      <xdr:col>4</xdr:col>
      <xdr:colOff>266827</xdr:colOff>
      <xdr:row>73</xdr:row>
      <xdr:rowOff>128270</xdr:rowOff>
    </xdr:to>
    <xdr:sp macro="_xll.PtreeEvent_ObjectClick" textlink="">
      <xdr:nvSpPr>
        <xdr:cNvPr id="84" name="PTObj_DNode_7_12">
          <a:extLst>
            <a:ext uri="{FF2B5EF4-FFF2-40B4-BE49-F238E27FC236}">
              <a16:creationId xmlns:a16="http://schemas.microsoft.com/office/drawing/2014/main" id="{A3ED78BE-9DD7-4D9F-9FA2-7F9B207651B9}"/>
            </a:ext>
          </a:extLst>
        </xdr:cNvPr>
        <xdr:cNvSpPr/>
      </xdr:nvSpPr>
      <xdr:spPr>
        <a:xfrm rot="-5400000">
          <a:off x="6972427" y="193497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72</xdr:row>
      <xdr:rowOff>171306</xdr:rowOff>
    </xdr:from>
    <xdr:ext cx="228588" cy="180627"/>
    <xdr:sp macro="_xll.PtreeEvent_ObjectClick" textlink="">
      <xdr:nvSpPr>
        <xdr:cNvPr id="85" name="PTObj_DBranchName_7_12">
          <a:extLst>
            <a:ext uri="{FF2B5EF4-FFF2-40B4-BE49-F238E27FC236}">
              <a16:creationId xmlns:a16="http://schemas.microsoft.com/office/drawing/2014/main" id="{12E45AC9-1040-4C3E-A623-A4F190FE6AF3}"/>
            </a:ext>
          </a:extLst>
        </xdr:cNvPr>
        <xdr:cNvSpPr txBox="1"/>
      </xdr:nvSpPr>
      <xdr:spPr>
        <a:xfrm>
          <a:off x="5548122" y="19392756"/>
          <a:ext cx="228588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high</a:t>
          </a:r>
        </a:p>
      </xdr:txBody>
    </xdr:sp>
    <xdr:clientData/>
  </xdr:oneCellAnchor>
  <xdr:twoCellAnchor editAs="oneCell">
    <xdr:from>
      <xdr:col>2</xdr:col>
      <xdr:colOff>127</xdr:colOff>
      <xdr:row>76</xdr:row>
      <xdr:rowOff>128270</xdr:rowOff>
    </xdr:from>
    <xdr:to>
      <xdr:col>2</xdr:col>
      <xdr:colOff>266827</xdr:colOff>
      <xdr:row>77</xdr:row>
      <xdr:rowOff>128270</xdr:rowOff>
    </xdr:to>
    <xdr:sp macro="_xll.PtreeEvent_ObjectClick" textlink="">
      <xdr:nvSpPr>
        <xdr:cNvPr id="86" name="PTObj_DNode_7_4">
          <a:extLst>
            <a:ext uri="{FF2B5EF4-FFF2-40B4-BE49-F238E27FC236}">
              <a16:creationId xmlns:a16="http://schemas.microsoft.com/office/drawing/2014/main" id="{B449C742-543D-4BFF-B521-DA00E48E3EEF}"/>
            </a:ext>
          </a:extLst>
        </xdr:cNvPr>
        <xdr:cNvSpPr/>
      </xdr:nvSpPr>
      <xdr:spPr>
        <a:xfrm>
          <a:off x="3486277" y="20416520"/>
          <a:ext cx="266700" cy="2667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318897</xdr:colOff>
      <xdr:row>76</xdr:row>
      <xdr:rowOff>171306</xdr:rowOff>
    </xdr:from>
    <xdr:ext cx="107402" cy="180627"/>
    <xdr:sp macro="_xll.PtreeEvent_ObjectClick" textlink="">
      <xdr:nvSpPr>
        <xdr:cNvPr id="87" name="PTObj_DBranchName_7_4">
          <a:extLst>
            <a:ext uri="{FF2B5EF4-FFF2-40B4-BE49-F238E27FC236}">
              <a16:creationId xmlns:a16="http://schemas.microsoft.com/office/drawing/2014/main" id="{99FE9034-739A-4D43-AE65-2102E6BE7187}"/>
            </a:ext>
          </a:extLst>
        </xdr:cNvPr>
        <xdr:cNvSpPr txBox="1"/>
      </xdr:nvSpPr>
      <xdr:spPr>
        <a:xfrm>
          <a:off x="2061972" y="20459556"/>
          <a:ext cx="107402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2</a:t>
          </a:r>
        </a:p>
      </xdr:txBody>
    </xdr:sp>
    <xdr:clientData/>
  </xdr:oneCellAnchor>
  <xdr:twoCellAnchor editAs="oneCell">
    <xdr:from>
      <xdr:col>3</xdr:col>
      <xdr:colOff>127</xdr:colOff>
      <xdr:row>74</xdr:row>
      <xdr:rowOff>128270</xdr:rowOff>
    </xdr:from>
    <xdr:to>
      <xdr:col>3</xdr:col>
      <xdr:colOff>266827</xdr:colOff>
      <xdr:row>75</xdr:row>
      <xdr:rowOff>128270</xdr:rowOff>
    </xdr:to>
    <xdr:sp macro="_xll.PtreeEvent_ObjectClick" textlink="">
      <xdr:nvSpPr>
        <xdr:cNvPr id="88" name="PTObj_DNode_7_13">
          <a:extLst>
            <a:ext uri="{FF2B5EF4-FFF2-40B4-BE49-F238E27FC236}">
              <a16:creationId xmlns:a16="http://schemas.microsoft.com/office/drawing/2014/main" id="{861D95EF-C4C2-42A7-B2A3-10735EE7E970}"/>
            </a:ext>
          </a:extLst>
        </xdr:cNvPr>
        <xdr:cNvSpPr/>
      </xdr:nvSpPr>
      <xdr:spPr>
        <a:xfrm rot="-5400000">
          <a:off x="5229352" y="198831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74</xdr:row>
      <xdr:rowOff>171306</xdr:rowOff>
    </xdr:from>
    <xdr:ext cx="289374" cy="180627"/>
    <xdr:sp macro="_xll.PtreeEvent_ObjectClick" textlink="">
      <xdr:nvSpPr>
        <xdr:cNvPr id="89" name="PTObj_DBranchName_7_13">
          <a:extLst>
            <a:ext uri="{FF2B5EF4-FFF2-40B4-BE49-F238E27FC236}">
              <a16:creationId xmlns:a16="http://schemas.microsoft.com/office/drawing/2014/main" id="{05413405-1DA1-4A15-9F96-76D5168F6261}"/>
            </a:ext>
          </a:extLst>
        </xdr:cNvPr>
        <xdr:cNvSpPr txBox="1"/>
      </xdr:nvSpPr>
      <xdr:spPr>
        <a:xfrm>
          <a:off x="3805047" y="19926156"/>
          <a:ext cx="28937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reject</a:t>
          </a:r>
        </a:p>
      </xdr:txBody>
    </xdr:sp>
    <xdr:clientData/>
  </xdr:oneCellAnchor>
  <xdr:twoCellAnchor editAs="oneCell">
    <xdr:from>
      <xdr:col>3</xdr:col>
      <xdr:colOff>127</xdr:colOff>
      <xdr:row>80</xdr:row>
      <xdr:rowOff>128270</xdr:rowOff>
    </xdr:from>
    <xdr:to>
      <xdr:col>3</xdr:col>
      <xdr:colOff>266827</xdr:colOff>
      <xdr:row>81</xdr:row>
      <xdr:rowOff>128270</xdr:rowOff>
    </xdr:to>
    <xdr:sp macro="_xll.PtreeEvent_ObjectClick" textlink="">
      <xdr:nvSpPr>
        <xdr:cNvPr id="90" name="PTObj_DNode_7_14">
          <a:extLst>
            <a:ext uri="{FF2B5EF4-FFF2-40B4-BE49-F238E27FC236}">
              <a16:creationId xmlns:a16="http://schemas.microsoft.com/office/drawing/2014/main" id="{1C418338-2DAE-4803-9968-C61FAB6848BD}"/>
            </a:ext>
          </a:extLst>
        </xdr:cNvPr>
        <xdr:cNvSpPr/>
      </xdr:nvSpPr>
      <xdr:spPr>
        <a:xfrm>
          <a:off x="5229352" y="21483320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80</xdr:row>
      <xdr:rowOff>171306</xdr:rowOff>
    </xdr:from>
    <xdr:ext cx="293157" cy="180627"/>
    <xdr:sp macro="_xll.PtreeEvent_ObjectClick" textlink="">
      <xdr:nvSpPr>
        <xdr:cNvPr id="91" name="PTObj_DBranchName_7_14">
          <a:extLst>
            <a:ext uri="{FF2B5EF4-FFF2-40B4-BE49-F238E27FC236}">
              <a16:creationId xmlns:a16="http://schemas.microsoft.com/office/drawing/2014/main" id="{8CCF392A-4EF1-4502-B42E-BDBFB94C5103}"/>
            </a:ext>
          </a:extLst>
        </xdr:cNvPr>
        <xdr:cNvSpPr txBox="1"/>
      </xdr:nvSpPr>
      <xdr:spPr>
        <a:xfrm>
          <a:off x="3805047" y="21526356"/>
          <a:ext cx="2931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adopt</a:t>
          </a:r>
        </a:p>
      </xdr:txBody>
    </xdr:sp>
    <xdr:clientData/>
  </xdr:oneCellAnchor>
  <xdr:twoCellAnchor editAs="oneCell">
    <xdr:from>
      <xdr:col>4</xdr:col>
      <xdr:colOff>127</xdr:colOff>
      <xdr:row>78</xdr:row>
      <xdr:rowOff>128270</xdr:rowOff>
    </xdr:from>
    <xdr:to>
      <xdr:col>4</xdr:col>
      <xdr:colOff>266827</xdr:colOff>
      <xdr:row>79</xdr:row>
      <xdr:rowOff>128270</xdr:rowOff>
    </xdr:to>
    <xdr:sp macro="_xll.PtreeEvent_ObjectClick" textlink="">
      <xdr:nvSpPr>
        <xdr:cNvPr id="92" name="PTObj_DNode_7_15">
          <a:extLst>
            <a:ext uri="{FF2B5EF4-FFF2-40B4-BE49-F238E27FC236}">
              <a16:creationId xmlns:a16="http://schemas.microsoft.com/office/drawing/2014/main" id="{84DA4E3A-4FAE-41A4-90EF-CFAA2ED79A54}"/>
            </a:ext>
          </a:extLst>
        </xdr:cNvPr>
        <xdr:cNvSpPr/>
      </xdr:nvSpPr>
      <xdr:spPr>
        <a:xfrm rot="-5400000">
          <a:off x="6972427" y="209499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78</xdr:row>
      <xdr:rowOff>171306</xdr:rowOff>
    </xdr:from>
    <xdr:ext cx="199414" cy="180627"/>
    <xdr:sp macro="_xll.PtreeEvent_ObjectClick" textlink="">
      <xdr:nvSpPr>
        <xdr:cNvPr id="93" name="PTObj_DBranchName_7_15">
          <a:extLst>
            <a:ext uri="{FF2B5EF4-FFF2-40B4-BE49-F238E27FC236}">
              <a16:creationId xmlns:a16="http://schemas.microsoft.com/office/drawing/2014/main" id="{939F447C-5EBF-4382-8B07-AA20FEF4F18A}"/>
            </a:ext>
          </a:extLst>
        </xdr:cNvPr>
        <xdr:cNvSpPr txBox="1"/>
      </xdr:nvSpPr>
      <xdr:spPr>
        <a:xfrm>
          <a:off x="5548122" y="20992956"/>
          <a:ext cx="19941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low</a:t>
          </a:r>
        </a:p>
      </xdr:txBody>
    </xdr:sp>
    <xdr:clientData/>
  </xdr:oneCellAnchor>
  <xdr:twoCellAnchor editAs="oneCell">
    <xdr:from>
      <xdr:col>4</xdr:col>
      <xdr:colOff>127</xdr:colOff>
      <xdr:row>82</xdr:row>
      <xdr:rowOff>128270</xdr:rowOff>
    </xdr:from>
    <xdr:to>
      <xdr:col>4</xdr:col>
      <xdr:colOff>266827</xdr:colOff>
      <xdr:row>83</xdr:row>
      <xdr:rowOff>128270</xdr:rowOff>
    </xdr:to>
    <xdr:sp macro="_xll.PtreeEvent_ObjectClick" textlink="">
      <xdr:nvSpPr>
        <xdr:cNvPr id="94" name="PTObj_DNode_7_16">
          <a:extLst>
            <a:ext uri="{FF2B5EF4-FFF2-40B4-BE49-F238E27FC236}">
              <a16:creationId xmlns:a16="http://schemas.microsoft.com/office/drawing/2014/main" id="{ACCC6447-645E-48E1-A223-4A5AC2B6AEC2}"/>
            </a:ext>
          </a:extLst>
        </xdr:cNvPr>
        <xdr:cNvSpPr/>
      </xdr:nvSpPr>
      <xdr:spPr>
        <a:xfrm rot="-5400000">
          <a:off x="6972427" y="220167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82</xdr:row>
      <xdr:rowOff>171306</xdr:rowOff>
    </xdr:from>
    <xdr:ext cx="228588" cy="180627"/>
    <xdr:sp macro="_xll.PtreeEvent_ObjectClick" textlink="">
      <xdr:nvSpPr>
        <xdr:cNvPr id="95" name="PTObj_DBranchName_7_16">
          <a:extLst>
            <a:ext uri="{FF2B5EF4-FFF2-40B4-BE49-F238E27FC236}">
              <a16:creationId xmlns:a16="http://schemas.microsoft.com/office/drawing/2014/main" id="{386BE81C-CD73-49DC-9D55-4F8351205228}"/>
            </a:ext>
          </a:extLst>
        </xdr:cNvPr>
        <xdr:cNvSpPr txBox="1"/>
      </xdr:nvSpPr>
      <xdr:spPr>
        <a:xfrm>
          <a:off x="5548122" y="22059756"/>
          <a:ext cx="228588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high</a:t>
          </a:r>
        </a:p>
      </xdr:txBody>
    </xdr:sp>
    <xdr:clientData/>
  </xdr:oneCellAnchor>
  <xdr:twoCellAnchor editAs="oneCell">
    <xdr:from>
      <xdr:col>1</xdr:col>
      <xdr:colOff>127</xdr:colOff>
      <xdr:row>101</xdr:row>
      <xdr:rowOff>128271</xdr:rowOff>
    </xdr:from>
    <xdr:to>
      <xdr:col>1</xdr:col>
      <xdr:colOff>266827</xdr:colOff>
      <xdr:row>102</xdr:row>
      <xdr:rowOff>128271</xdr:rowOff>
    </xdr:to>
    <xdr:sp macro="_xll.PtreeEvent_ObjectClick" textlink="">
      <xdr:nvSpPr>
        <xdr:cNvPr id="96" name="PTObj_DNode_8_1">
          <a:extLst>
            <a:ext uri="{FF2B5EF4-FFF2-40B4-BE49-F238E27FC236}">
              <a16:creationId xmlns:a16="http://schemas.microsoft.com/office/drawing/2014/main" id="{7D28DF86-96B3-44A3-BCD2-0481B5A6B250}"/>
            </a:ext>
          </a:extLst>
        </xdr:cNvPr>
        <xdr:cNvSpPr/>
      </xdr:nvSpPr>
      <xdr:spPr>
        <a:xfrm>
          <a:off x="1743202" y="27084021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215900</xdr:colOff>
      <xdr:row>101</xdr:row>
      <xdr:rowOff>171307</xdr:rowOff>
    </xdr:from>
    <xdr:ext cx="317010" cy="180627"/>
    <xdr:sp macro="_xll.PtreeEvent_ObjectClick" textlink="">
      <xdr:nvSpPr>
        <xdr:cNvPr id="97" name="PTObj_DBranchName_8_1">
          <a:extLst>
            <a:ext uri="{FF2B5EF4-FFF2-40B4-BE49-F238E27FC236}">
              <a16:creationId xmlns:a16="http://schemas.microsoft.com/office/drawing/2014/main" id="{3639353A-B488-4792-AB85-B966B0CFB62B}"/>
            </a:ext>
          </a:extLst>
        </xdr:cNvPr>
        <xdr:cNvSpPr txBox="1"/>
      </xdr:nvSpPr>
      <xdr:spPr>
        <a:xfrm>
          <a:off x="215900" y="27127057"/>
          <a:ext cx="31701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G Tree</a:t>
          </a:r>
        </a:p>
      </xdr:txBody>
    </xdr:sp>
    <xdr:clientData/>
  </xdr:oneCellAnchor>
  <xdr:twoCellAnchor editAs="oneCell">
    <xdr:from>
      <xdr:col>2</xdr:col>
      <xdr:colOff>127</xdr:colOff>
      <xdr:row>93</xdr:row>
      <xdr:rowOff>128270</xdr:rowOff>
    </xdr:from>
    <xdr:to>
      <xdr:col>2</xdr:col>
      <xdr:colOff>266827</xdr:colOff>
      <xdr:row>94</xdr:row>
      <xdr:rowOff>128270</xdr:rowOff>
    </xdr:to>
    <xdr:sp macro="_xll.PtreeEvent_ObjectClick" textlink="">
      <xdr:nvSpPr>
        <xdr:cNvPr id="98" name="PTObj_DNode_8_2">
          <a:extLst>
            <a:ext uri="{FF2B5EF4-FFF2-40B4-BE49-F238E27FC236}">
              <a16:creationId xmlns:a16="http://schemas.microsoft.com/office/drawing/2014/main" id="{4EFCFDD8-9ACC-436D-88FD-A3B7607FB45A}"/>
            </a:ext>
          </a:extLst>
        </xdr:cNvPr>
        <xdr:cNvSpPr/>
      </xdr:nvSpPr>
      <xdr:spPr>
        <a:xfrm>
          <a:off x="3486277" y="24950420"/>
          <a:ext cx="266700" cy="2667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318897</xdr:colOff>
      <xdr:row>93</xdr:row>
      <xdr:rowOff>171306</xdr:rowOff>
    </xdr:from>
    <xdr:ext cx="107402" cy="180627"/>
    <xdr:sp macro="_xll.PtreeEvent_ObjectClick" textlink="">
      <xdr:nvSpPr>
        <xdr:cNvPr id="99" name="PTObj_DBranchName_8_2">
          <a:extLst>
            <a:ext uri="{FF2B5EF4-FFF2-40B4-BE49-F238E27FC236}">
              <a16:creationId xmlns:a16="http://schemas.microsoft.com/office/drawing/2014/main" id="{E7247B74-8F9A-4809-B63F-D1E172B3919D}"/>
            </a:ext>
          </a:extLst>
        </xdr:cNvPr>
        <xdr:cNvSpPr txBox="1"/>
      </xdr:nvSpPr>
      <xdr:spPr>
        <a:xfrm>
          <a:off x="2061972" y="24993456"/>
          <a:ext cx="107402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0</a:t>
          </a:r>
        </a:p>
      </xdr:txBody>
    </xdr:sp>
    <xdr:clientData/>
  </xdr:oneCellAnchor>
  <xdr:twoCellAnchor editAs="oneCell">
    <xdr:from>
      <xdr:col>3</xdr:col>
      <xdr:colOff>127</xdr:colOff>
      <xdr:row>91</xdr:row>
      <xdr:rowOff>128270</xdr:rowOff>
    </xdr:from>
    <xdr:to>
      <xdr:col>3</xdr:col>
      <xdr:colOff>266827</xdr:colOff>
      <xdr:row>92</xdr:row>
      <xdr:rowOff>128270</xdr:rowOff>
    </xdr:to>
    <xdr:sp macro="_xll.PtreeEvent_ObjectClick" textlink="">
      <xdr:nvSpPr>
        <xdr:cNvPr id="100" name="PTObj_DNode_8_3">
          <a:extLst>
            <a:ext uri="{FF2B5EF4-FFF2-40B4-BE49-F238E27FC236}">
              <a16:creationId xmlns:a16="http://schemas.microsoft.com/office/drawing/2014/main" id="{C063CDD0-CE56-46D4-99BD-4DF5AC3ED739}"/>
            </a:ext>
          </a:extLst>
        </xdr:cNvPr>
        <xdr:cNvSpPr/>
      </xdr:nvSpPr>
      <xdr:spPr>
        <a:xfrm rot="-5400000">
          <a:off x="5229352" y="244170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91</xdr:row>
      <xdr:rowOff>171306</xdr:rowOff>
    </xdr:from>
    <xdr:ext cx="289374" cy="180627"/>
    <xdr:sp macro="_xll.PtreeEvent_ObjectClick" textlink="">
      <xdr:nvSpPr>
        <xdr:cNvPr id="101" name="PTObj_DBranchName_8_3">
          <a:extLst>
            <a:ext uri="{FF2B5EF4-FFF2-40B4-BE49-F238E27FC236}">
              <a16:creationId xmlns:a16="http://schemas.microsoft.com/office/drawing/2014/main" id="{0855C7BE-CA54-46AB-BA05-1449E19544F7}"/>
            </a:ext>
          </a:extLst>
        </xdr:cNvPr>
        <xdr:cNvSpPr txBox="1"/>
      </xdr:nvSpPr>
      <xdr:spPr>
        <a:xfrm>
          <a:off x="3805047" y="24460056"/>
          <a:ext cx="28937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reject</a:t>
          </a:r>
        </a:p>
      </xdr:txBody>
    </xdr:sp>
    <xdr:clientData/>
  </xdr:oneCellAnchor>
  <xdr:twoCellAnchor editAs="oneCell">
    <xdr:from>
      <xdr:col>3</xdr:col>
      <xdr:colOff>127</xdr:colOff>
      <xdr:row>97</xdr:row>
      <xdr:rowOff>128270</xdr:rowOff>
    </xdr:from>
    <xdr:to>
      <xdr:col>3</xdr:col>
      <xdr:colOff>266827</xdr:colOff>
      <xdr:row>98</xdr:row>
      <xdr:rowOff>128270</xdr:rowOff>
    </xdr:to>
    <xdr:sp macro="_xll.PtreeEvent_ObjectClick" textlink="">
      <xdr:nvSpPr>
        <xdr:cNvPr id="102" name="PTObj_DNode_8_4">
          <a:extLst>
            <a:ext uri="{FF2B5EF4-FFF2-40B4-BE49-F238E27FC236}">
              <a16:creationId xmlns:a16="http://schemas.microsoft.com/office/drawing/2014/main" id="{CEDFDA4D-D580-404B-AB26-2BAB05410F2E}"/>
            </a:ext>
          </a:extLst>
        </xdr:cNvPr>
        <xdr:cNvSpPr/>
      </xdr:nvSpPr>
      <xdr:spPr>
        <a:xfrm>
          <a:off x="5229352" y="26017220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97</xdr:row>
      <xdr:rowOff>171306</xdr:rowOff>
    </xdr:from>
    <xdr:ext cx="293157" cy="180627"/>
    <xdr:sp macro="_xll.PtreeEvent_ObjectClick" textlink="">
      <xdr:nvSpPr>
        <xdr:cNvPr id="103" name="PTObj_DBranchName_8_4">
          <a:extLst>
            <a:ext uri="{FF2B5EF4-FFF2-40B4-BE49-F238E27FC236}">
              <a16:creationId xmlns:a16="http://schemas.microsoft.com/office/drawing/2014/main" id="{14E5B515-1675-4B1A-AC5C-09774AEDA22B}"/>
            </a:ext>
          </a:extLst>
        </xdr:cNvPr>
        <xdr:cNvSpPr txBox="1"/>
      </xdr:nvSpPr>
      <xdr:spPr>
        <a:xfrm>
          <a:off x="3805047" y="26060256"/>
          <a:ext cx="2931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adopt</a:t>
          </a:r>
        </a:p>
      </xdr:txBody>
    </xdr:sp>
    <xdr:clientData/>
  </xdr:oneCellAnchor>
  <xdr:twoCellAnchor editAs="oneCell">
    <xdr:from>
      <xdr:col>4</xdr:col>
      <xdr:colOff>127</xdr:colOff>
      <xdr:row>95</xdr:row>
      <xdr:rowOff>128270</xdr:rowOff>
    </xdr:from>
    <xdr:to>
      <xdr:col>4</xdr:col>
      <xdr:colOff>266827</xdr:colOff>
      <xdr:row>96</xdr:row>
      <xdr:rowOff>128270</xdr:rowOff>
    </xdr:to>
    <xdr:sp macro="_xll.PtreeEvent_ObjectClick" textlink="">
      <xdr:nvSpPr>
        <xdr:cNvPr id="104" name="PTObj_DNode_8_5">
          <a:extLst>
            <a:ext uri="{FF2B5EF4-FFF2-40B4-BE49-F238E27FC236}">
              <a16:creationId xmlns:a16="http://schemas.microsoft.com/office/drawing/2014/main" id="{96BA9B17-B33D-4F25-8A7A-DDA7E14C3151}"/>
            </a:ext>
          </a:extLst>
        </xdr:cNvPr>
        <xdr:cNvSpPr/>
      </xdr:nvSpPr>
      <xdr:spPr>
        <a:xfrm rot="-5400000">
          <a:off x="6972427" y="25483820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95</xdr:row>
      <xdr:rowOff>171306</xdr:rowOff>
    </xdr:from>
    <xdr:ext cx="199414" cy="180627"/>
    <xdr:sp macro="_xll.PtreeEvent_ObjectClick" textlink="">
      <xdr:nvSpPr>
        <xdr:cNvPr id="105" name="PTObj_DBranchName_8_5">
          <a:extLst>
            <a:ext uri="{FF2B5EF4-FFF2-40B4-BE49-F238E27FC236}">
              <a16:creationId xmlns:a16="http://schemas.microsoft.com/office/drawing/2014/main" id="{7DFE5E34-FDAA-4973-95F4-CEBBFEDAE677}"/>
            </a:ext>
          </a:extLst>
        </xdr:cNvPr>
        <xdr:cNvSpPr txBox="1"/>
      </xdr:nvSpPr>
      <xdr:spPr>
        <a:xfrm>
          <a:off x="5548122" y="25526856"/>
          <a:ext cx="19941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low</a:t>
          </a:r>
        </a:p>
      </xdr:txBody>
    </xdr:sp>
    <xdr:clientData/>
  </xdr:oneCellAnchor>
  <xdr:twoCellAnchor editAs="oneCell">
    <xdr:from>
      <xdr:col>4</xdr:col>
      <xdr:colOff>126</xdr:colOff>
      <xdr:row>99</xdr:row>
      <xdr:rowOff>128271</xdr:rowOff>
    </xdr:from>
    <xdr:to>
      <xdr:col>4</xdr:col>
      <xdr:colOff>266827</xdr:colOff>
      <xdr:row>100</xdr:row>
      <xdr:rowOff>128271</xdr:rowOff>
    </xdr:to>
    <xdr:sp macro="_xll.PtreeEvent_ObjectClick" textlink="">
      <xdr:nvSpPr>
        <xdr:cNvPr id="106" name="PTObj_DNode_8_6">
          <a:extLst>
            <a:ext uri="{FF2B5EF4-FFF2-40B4-BE49-F238E27FC236}">
              <a16:creationId xmlns:a16="http://schemas.microsoft.com/office/drawing/2014/main" id="{AEA2BF13-03D7-4B58-9F1C-98F9683411E0}"/>
            </a:ext>
          </a:extLst>
        </xdr:cNvPr>
        <xdr:cNvSpPr/>
      </xdr:nvSpPr>
      <xdr:spPr>
        <a:xfrm rot="-5400000">
          <a:off x="6972427" y="26550620"/>
          <a:ext cx="266700" cy="266701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99</xdr:row>
      <xdr:rowOff>171307</xdr:rowOff>
    </xdr:from>
    <xdr:ext cx="228588" cy="180627"/>
    <xdr:sp macro="_xll.PtreeEvent_ObjectClick" textlink="">
      <xdr:nvSpPr>
        <xdr:cNvPr id="107" name="PTObj_DBranchName_8_6">
          <a:extLst>
            <a:ext uri="{FF2B5EF4-FFF2-40B4-BE49-F238E27FC236}">
              <a16:creationId xmlns:a16="http://schemas.microsoft.com/office/drawing/2014/main" id="{D8700E6E-2DB6-400D-9631-F23AEB01341C}"/>
            </a:ext>
          </a:extLst>
        </xdr:cNvPr>
        <xdr:cNvSpPr txBox="1"/>
      </xdr:nvSpPr>
      <xdr:spPr>
        <a:xfrm>
          <a:off x="5548122" y="26593657"/>
          <a:ext cx="228588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high</a:t>
          </a:r>
        </a:p>
      </xdr:txBody>
    </xdr:sp>
    <xdr:clientData/>
  </xdr:oneCellAnchor>
  <xdr:twoCellAnchor editAs="oneCell">
    <xdr:from>
      <xdr:col>2</xdr:col>
      <xdr:colOff>127</xdr:colOff>
      <xdr:row>105</xdr:row>
      <xdr:rowOff>128271</xdr:rowOff>
    </xdr:from>
    <xdr:to>
      <xdr:col>2</xdr:col>
      <xdr:colOff>266827</xdr:colOff>
      <xdr:row>106</xdr:row>
      <xdr:rowOff>128271</xdr:rowOff>
    </xdr:to>
    <xdr:sp macro="_xll.PtreeEvent_ObjectClick" textlink="">
      <xdr:nvSpPr>
        <xdr:cNvPr id="108" name="PTObj_DNode_8_7">
          <a:extLst>
            <a:ext uri="{FF2B5EF4-FFF2-40B4-BE49-F238E27FC236}">
              <a16:creationId xmlns:a16="http://schemas.microsoft.com/office/drawing/2014/main" id="{D3D8E0BB-435D-4EC8-911A-6659B7C76EBD}"/>
            </a:ext>
          </a:extLst>
        </xdr:cNvPr>
        <xdr:cNvSpPr/>
      </xdr:nvSpPr>
      <xdr:spPr>
        <a:xfrm>
          <a:off x="3486277" y="28150821"/>
          <a:ext cx="266700" cy="2667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318897</xdr:colOff>
      <xdr:row>105</xdr:row>
      <xdr:rowOff>171307</xdr:rowOff>
    </xdr:from>
    <xdr:ext cx="107402" cy="180627"/>
    <xdr:sp macro="_xll.PtreeEvent_ObjectClick" textlink="">
      <xdr:nvSpPr>
        <xdr:cNvPr id="109" name="PTObj_DBranchName_8_7">
          <a:extLst>
            <a:ext uri="{FF2B5EF4-FFF2-40B4-BE49-F238E27FC236}">
              <a16:creationId xmlns:a16="http://schemas.microsoft.com/office/drawing/2014/main" id="{04B8E6EB-B4F3-4DEA-8C31-75767C98C15C}"/>
            </a:ext>
          </a:extLst>
        </xdr:cNvPr>
        <xdr:cNvSpPr txBox="1"/>
      </xdr:nvSpPr>
      <xdr:spPr>
        <a:xfrm>
          <a:off x="2061972" y="28193857"/>
          <a:ext cx="107402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1</a:t>
          </a:r>
        </a:p>
      </xdr:txBody>
    </xdr:sp>
    <xdr:clientData/>
  </xdr:oneCellAnchor>
  <xdr:twoCellAnchor editAs="oneCell">
    <xdr:from>
      <xdr:col>3</xdr:col>
      <xdr:colOff>127</xdr:colOff>
      <xdr:row>103</xdr:row>
      <xdr:rowOff>128271</xdr:rowOff>
    </xdr:from>
    <xdr:to>
      <xdr:col>3</xdr:col>
      <xdr:colOff>266827</xdr:colOff>
      <xdr:row>104</xdr:row>
      <xdr:rowOff>128271</xdr:rowOff>
    </xdr:to>
    <xdr:sp macro="_xll.PtreeEvent_ObjectClick" textlink="">
      <xdr:nvSpPr>
        <xdr:cNvPr id="110" name="PTObj_DNode_8_8">
          <a:extLst>
            <a:ext uri="{FF2B5EF4-FFF2-40B4-BE49-F238E27FC236}">
              <a16:creationId xmlns:a16="http://schemas.microsoft.com/office/drawing/2014/main" id="{E0C2E585-4209-4D7D-B508-FCDF10127F9C}"/>
            </a:ext>
          </a:extLst>
        </xdr:cNvPr>
        <xdr:cNvSpPr/>
      </xdr:nvSpPr>
      <xdr:spPr>
        <a:xfrm rot="-5400000">
          <a:off x="5229352" y="27617421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103</xdr:row>
      <xdr:rowOff>171307</xdr:rowOff>
    </xdr:from>
    <xdr:ext cx="289374" cy="180627"/>
    <xdr:sp macro="_xll.PtreeEvent_ObjectClick" textlink="">
      <xdr:nvSpPr>
        <xdr:cNvPr id="111" name="PTObj_DBranchName_8_8">
          <a:extLst>
            <a:ext uri="{FF2B5EF4-FFF2-40B4-BE49-F238E27FC236}">
              <a16:creationId xmlns:a16="http://schemas.microsoft.com/office/drawing/2014/main" id="{2B27398C-C440-496B-9361-552B65E38153}"/>
            </a:ext>
          </a:extLst>
        </xdr:cNvPr>
        <xdr:cNvSpPr txBox="1"/>
      </xdr:nvSpPr>
      <xdr:spPr>
        <a:xfrm>
          <a:off x="3805047" y="27660457"/>
          <a:ext cx="28937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reject</a:t>
          </a:r>
        </a:p>
      </xdr:txBody>
    </xdr:sp>
    <xdr:clientData/>
  </xdr:oneCellAnchor>
  <xdr:twoCellAnchor editAs="oneCell">
    <xdr:from>
      <xdr:col>3</xdr:col>
      <xdr:colOff>127</xdr:colOff>
      <xdr:row>109</xdr:row>
      <xdr:rowOff>128271</xdr:rowOff>
    </xdr:from>
    <xdr:to>
      <xdr:col>3</xdr:col>
      <xdr:colOff>266827</xdr:colOff>
      <xdr:row>110</xdr:row>
      <xdr:rowOff>128271</xdr:rowOff>
    </xdr:to>
    <xdr:sp macro="_xll.PtreeEvent_ObjectClick" textlink="">
      <xdr:nvSpPr>
        <xdr:cNvPr id="112" name="PTObj_DNode_8_9">
          <a:extLst>
            <a:ext uri="{FF2B5EF4-FFF2-40B4-BE49-F238E27FC236}">
              <a16:creationId xmlns:a16="http://schemas.microsoft.com/office/drawing/2014/main" id="{C886E7CD-EAA4-4194-ABF8-92BF3D747CF3}"/>
            </a:ext>
          </a:extLst>
        </xdr:cNvPr>
        <xdr:cNvSpPr/>
      </xdr:nvSpPr>
      <xdr:spPr>
        <a:xfrm>
          <a:off x="5229352" y="29217621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109</xdr:row>
      <xdr:rowOff>171307</xdr:rowOff>
    </xdr:from>
    <xdr:ext cx="293157" cy="180627"/>
    <xdr:sp macro="_xll.PtreeEvent_ObjectClick" textlink="">
      <xdr:nvSpPr>
        <xdr:cNvPr id="113" name="PTObj_DBranchName_8_9">
          <a:extLst>
            <a:ext uri="{FF2B5EF4-FFF2-40B4-BE49-F238E27FC236}">
              <a16:creationId xmlns:a16="http://schemas.microsoft.com/office/drawing/2014/main" id="{9FB3FE7F-11F4-43C2-A25A-A274373723E2}"/>
            </a:ext>
          </a:extLst>
        </xdr:cNvPr>
        <xdr:cNvSpPr txBox="1"/>
      </xdr:nvSpPr>
      <xdr:spPr>
        <a:xfrm>
          <a:off x="3805047" y="29260657"/>
          <a:ext cx="2931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adopt</a:t>
          </a:r>
        </a:p>
      </xdr:txBody>
    </xdr:sp>
    <xdr:clientData/>
  </xdr:oneCellAnchor>
  <xdr:twoCellAnchor editAs="oneCell">
    <xdr:from>
      <xdr:col>4</xdr:col>
      <xdr:colOff>127</xdr:colOff>
      <xdr:row>107</xdr:row>
      <xdr:rowOff>128271</xdr:rowOff>
    </xdr:from>
    <xdr:to>
      <xdr:col>4</xdr:col>
      <xdr:colOff>266827</xdr:colOff>
      <xdr:row>108</xdr:row>
      <xdr:rowOff>128271</xdr:rowOff>
    </xdr:to>
    <xdr:sp macro="_xll.PtreeEvent_ObjectClick" textlink="">
      <xdr:nvSpPr>
        <xdr:cNvPr id="114" name="PTObj_DNode_8_10">
          <a:extLst>
            <a:ext uri="{FF2B5EF4-FFF2-40B4-BE49-F238E27FC236}">
              <a16:creationId xmlns:a16="http://schemas.microsoft.com/office/drawing/2014/main" id="{C43017CD-D9A3-4B33-BB16-6276C9427187}"/>
            </a:ext>
          </a:extLst>
        </xdr:cNvPr>
        <xdr:cNvSpPr/>
      </xdr:nvSpPr>
      <xdr:spPr>
        <a:xfrm rot="-5400000">
          <a:off x="6972427" y="28684221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107</xdr:row>
      <xdr:rowOff>171307</xdr:rowOff>
    </xdr:from>
    <xdr:ext cx="199414" cy="180627"/>
    <xdr:sp macro="_xll.PtreeEvent_ObjectClick" textlink="">
      <xdr:nvSpPr>
        <xdr:cNvPr id="115" name="PTObj_DBranchName_8_10">
          <a:extLst>
            <a:ext uri="{FF2B5EF4-FFF2-40B4-BE49-F238E27FC236}">
              <a16:creationId xmlns:a16="http://schemas.microsoft.com/office/drawing/2014/main" id="{6B50923B-8856-4F27-A6D5-43F15350F69E}"/>
            </a:ext>
          </a:extLst>
        </xdr:cNvPr>
        <xdr:cNvSpPr txBox="1"/>
      </xdr:nvSpPr>
      <xdr:spPr>
        <a:xfrm>
          <a:off x="5548122" y="28727257"/>
          <a:ext cx="19941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low</a:t>
          </a:r>
        </a:p>
      </xdr:txBody>
    </xdr:sp>
    <xdr:clientData/>
  </xdr:oneCellAnchor>
  <xdr:twoCellAnchor editAs="oneCell">
    <xdr:from>
      <xdr:col>4</xdr:col>
      <xdr:colOff>127</xdr:colOff>
      <xdr:row>111</xdr:row>
      <xdr:rowOff>128271</xdr:rowOff>
    </xdr:from>
    <xdr:to>
      <xdr:col>4</xdr:col>
      <xdr:colOff>266827</xdr:colOff>
      <xdr:row>112</xdr:row>
      <xdr:rowOff>128271</xdr:rowOff>
    </xdr:to>
    <xdr:sp macro="_xll.PtreeEvent_ObjectClick" textlink="">
      <xdr:nvSpPr>
        <xdr:cNvPr id="116" name="PTObj_DNode_8_11">
          <a:extLst>
            <a:ext uri="{FF2B5EF4-FFF2-40B4-BE49-F238E27FC236}">
              <a16:creationId xmlns:a16="http://schemas.microsoft.com/office/drawing/2014/main" id="{DE269F39-F760-4A85-9086-267B6913E2C0}"/>
            </a:ext>
          </a:extLst>
        </xdr:cNvPr>
        <xdr:cNvSpPr/>
      </xdr:nvSpPr>
      <xdr:spPr>
        <a:xfrm rot="-5400000">
          <a:off x="6972427" y="29751021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111</xdr:row>
      <xdr:rowOff>171307</xdr:rowOff>
    </xdr:from>
    <xdr:ext cx="228588" cy="180627"/>
    <xdr:sp macro="_xll.PtreeEvent_ObjectClick" textlink="">
      <xdr:nvSpPr>
        <xdr:cNvPr id="117" name="PTObj_DBranchName_8_11">
          <a:extLst>
            <a:ext uri="{FF2B5EF4-FFF2-40B4-BE49-F238E27FC236}">
              <a16:creationId xmlns:a16="http://schemas.microsoft.com/office/drawing/2014/main" id="{60C1CB84-26CD-46BB-AC8C-41859E414581}"/>
            </a:ext>
          </a:extLst>
        </xdr:cNvPr>
        <xdr:cNvSpPr txBox="1"/>
      </xdr:nvSpPr>
      <xdr:spPr>
        <a:xfrm>
          <a:off x="5548122" y="29794057"/>
          <a:ext cx="228588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high</a:t>
          </a:r>
        </a:p>
      </xdr:txBody>
    </xdr:sp>
    <xdr:clientData/>
  </xdr:oneCellAnchor>
  <xdr:twoCellAnchor editAs="oneCell">
    <xdr:from>
      <xdr:col>2</xdr:col>
      <xdr:colOff>127</xdr:colOff>
      <xdr:row>115</xdr:row>
      <xdr:rowOff>128271</xdr:rowOff>
    </xdr:from>
    <xdr:to>
      <xdr:col>2</xdr:col>
      <xdr:colOff>266827</xdr:colOff>
      <xdr:row>116</xdr:row>
      <xdr:rowOff>128271</xdr:rowOff>
    </xdr:to>
    <xdr:sp macro="_xll.PtreeEvent_ObjectClick" textlink="">
      <xdr:nvSpPr>
        <xdr:cNvPr id="118" name="PTObj_DNode_8_12">
          <a:extLst>
            <a:ext uri="{FF2B5EF4-FFF2-40B4-BE49-F238E27FC236}">
              <a16:creationId xmlns:a16="http://schemas.microsoft.com/office/drawing/2014/main" id="{1229E359-3911-42E9-9B3D-FCEEBD44FEA8}"/>
            </a:ext>
          </a:extLst>
        </xdr:cNvPr>
        <xdr:cNvSpPr/>
      </xdr:nvSpPr>
      <xdr:spPr>
        <a:xfrm>
          <a:off x="3486277" y="30817821"/>
          <a:ext cx="266700" cy="2667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318897</xdr:colOff>
      <xdr:row>115</xdr:row>
      <xdr:rowOff>171307</xdr:rowOff>
    </xdr:from>
    <xdr:ext cx="107402" cy="180627"/>
    <xdr:sp macro="_xll.PtreeEvent_ObjectClick" textlink="">
      <xdr:nvSpPr>
        <xdr:cNvPr id="119" name="PTObj_DBranchName_8_12">
          <a:extLst>
            <a:ext uri="{FF2B5EF4-FFF2-40B4-BE49-F238E27FC236}">
              <a16:creationId xmlns:a16="http://schemas.microsoft.com/office/drawing/2014/main" id="{B3487277-5930-425D-93B0-F0A58657A375}"/>
            </a:ext>
          </a:extLst>
        </xdr:cNvPr>
        <xdr:cNvSpPr txBox="1"/>
      </xdr:nvSpPr>
      <xdr:spPr>
        <a:xfrm>
          <a:off x="2061972" y="30860857"/>
          <a:ext cx="107402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2</a:t>
          </a:r>
        </a:p>
      </xdr:txBody>
    </xdr:sp>
    <xdr:clientData/>
  </xdr:oneCellAnchor>
  <xdr:twoCellAnchor editAs="oneCell">
    <xdr:from>
      <xdr:col>3</xdr:col>
      <xdr:colOff>127</xdr:colOff>
      <xdr:row>113</xdr:row>
      <xdr:rowOff>128271</xdr:rowOff>
    </xdr:from>
    <xdr:to>
      <xdr:col>3</xdr:col>
      <xdr:colOff>266827</xdr:colOff>
      <xdr:row>114</xdr:row>
      <xdr:rowOff>128271</xdr:rowOff>
    </xdr:to>
    <xdr:sp macro="_xll.PtreeEvent_ObjectClick" textlink="">
      <xdr:nvSpPr>
        <xdr:cNvPr id="120" name="PTObj_DNode_8_13">
          <a:extLst>
            <a:ext uri="{FF2B5EF4-FFF2-40B4-BE49-F238E27FC236}">
              <a16:creationId xmlns:a16="http://schemas.microsoft.com/office/drawing/2014/main" id="{7A863865-420C-4AE6-AFC1-38681B7713A4}"/>
            </a:ext>
          </a:extLst>
        </xdr:cNvPr>
        <xdr:cNvSpPr/>
      </xdr:nvSpPr>
      <xdr:spPr>
        <a:xfrm rot="-5400000">
          <a:off x="5229352" y="30284421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113</xdr:row>
      <xdr:rowOff>171307</xdr:rowOff>
    </xdr:from>
    <xdr:ext cx="289374" cy="180627"/>
    <xdr:sp macro="_xll.PtreeEvent_ObjectClick" textlink="">
      <xdr:nvSpPr>
        <xdr:cNvPr id="121" name="PTObj_DBranchName_8_13">
          <a:extLst>
            <a:ext uri="{FF2B5EF4-FFF2-40B4-BE49-F238E27FC236}">
              <a16:creationId xmlns:a16="http://schemas.microsoft.com/office/drawing/2014/main" id="{A3EC906A-D57F-4F2C-9879-0EDABD0078EB}"/>
            </a:ext>
          </a:extLst>
        </xdr:cNvPr>
        <xdr:cNvSpPr txBox="1"/>
      </xdr:nvSpPr>
      <xdr:spPr>
        <a:xfrm>
          <a:off x="3805047" y="30327457"/>
          <a:ext cx="28937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reject</a:t>
          </a:r>
        </a:p>
      </xdr:txBody>
    </xdr:sp>
    <xdr:clientData/>
  </xdr:oneCellAnchor>
  <xdr:twoCellAnchor editAs="oneCell">
    <xdr:from>
      <xdr:col>3</xdr:col>
      <xdr:colOff>127</xdr:colOff>
      <xdr:row>119</xdr:row>
      <xdr:rowOff>128271</xdr:rowOff>
    </xdr:from>
    <xdr:to>
      <xdr:col>3</xdr:col>
      <xdr:colOff>266827</xdr:colOff>
      <xdr:row>120</xdr:row>
      <xdr:rowOff>128271</xdr:rowOff>
    </xdr:to>
    <xdr:sp macro="_xll.PtreeEvent_ObjectClick" textlink="">
      <xdr:nvSpPr>
        <xdr:cNvPr id="122" name="PTObj_DNode_8_14">
          <a:extLst>
            <a:ext uri="{FF2B5EF4-FFF2-40B4-BE49-F238E27FC236}">
              <a16:creationId xmlns:a16="http://schemas.microsoft.com/office/drawing/2014/main" id="{0BEFC620-FF17-466B-990D-EC4532CA7E68}"/>
            </a:ext>
          </a:extLst>
        </xdr:cNvPr>
        <xdr:cNvSpPr/>
      </xdr:nvSpPr>
      <xdr:spPr>
        <a:xfrm>
          <a:off x="5229352" y="31884621"/>
          <a:ext cx="266700" cy="2667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318897</xdr:colOff>
      <xdr:row>119</xdr:row>
      <xdr:rowOff>171307</xdr:rowOff>
    </xdr:from>
    <xdr:ext cx="293157" cy="180627"/>
    <xdr:sp macro="_xll.PtreeEvent_ObjectClick" textlink="">
      <xdr:nvSpPr>
        <xdr:cNvPr id="123" name="PTObj_DBranchName_8_14">
          <a:extLst>
            <a:ext uri="{FF2B5EF4-FFF2-40B4-BE49-F238E27FC236}">
              <a16:creationId xmlns:a16="http://schemas.microsoft.com/office/drawing/2014/main" id="{4690EADC-1F5F-4E99-9CFB-6F81A9D922B0}"/>
            </a:ext>
          </a:extLst>
        </xdr:cNvPr>
        <xdr:cNvSpPr txBox="1"/>
      </xdr:nvSpPr>
      <xdr:spPr>
        <a:xfrm>
          <a:off x="3805047" y="31927657"/>
          <a:ext cx="2931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adopt</a:t>
          </a:r>
        </a:p>
      </xdr:txBody>
    </xdr:sp>
    <xdr:clientData/>
  </xdr:oneCellAnchor>
  <xdr:twoCellAnchor editAs="oneCell">
    <xdr:from>
      <xdr:col>4</xdr:col>
      <xdr:colOff>127</xdr:colOff>
      <xdr:row>117</xdr:row>
      <xdr:rowOff>128271</xdr:rowOff>
    </xdr:from>
    <xdr:to>
      <xdr:col>4</xdr:col>
      <xdr:colOff>266827</xdr:colOff>
      <xdr:row>118</xdr:row>
      <xdr:rowOff>128271</xdr:rowOff>
    </xdr:to>
    <xdr:sp macro="_xll.PtreeEvent_ObjectClick" textlink="">
      <xdr:nvSpPr>
        <xdr:cNvPr id="124" name="PTObj_DNode_8_15">
          <a:extLst>
            <a:ext uri="{FF2B5EF4-FFF2-40B4-BE49-F238E27FC236}">
              <a16:creationId xmlns:a16="http://schemas.microsoft.com/office/drawing/2014/main" id="{D192E6A7-5941-4160-B6D3-2DDB88819D31}"/>
            </a:ext>
          </a:extLst>
        </xdr:cNvPr>
        <xdr:cNvSpPr/>
      </xdr:nvSpPr>
      <xdr:spPr>
        <a:xfrm rot="-5400000">
          <a:off x="6972427" y="31351221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117</xdr:row>
      <xdr:rowOff>171307</xdr:rowOff>
    </xdr:from>
    <xdr:ext cx="199414" cy="180627"/>
    <xdr:sp macro="_xll.PtreeEvent_ObjectClick" textlink="">
      <xdr:nvSpPr>
        <xdr:cNvPr id="125" name="PTObj_DBranchName_8_15">
          <a:extLst>
            <a:ext uri="{FF2B5EF4-FFF2-40B4-BE49-F238E27FC236}">
              <a16:creationId xmlns:a16="http://schemas.microsoft.com/office/drawing/2014/main" id="{D29668F6-6D48-4F32-B4A8-B8AAC5AA842D}"/>
            </a:ext>
          </a:extLst>
        </xdr:cNvPr>
        <xdr:cNvSpPr txBox="1"/>
      </xdr:nvSpPr>
      <xdr:spPr>
        <a:xfrm>
          <a:off x="5548122" y="31394257"/>
          <a:ext cx="19941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low</a:t>
          </a:r>
        </a:p>
      </xdr:txBody>
    </xdr:sp>
    <xdr:clientData/>
  </xdr:oneCellAnchor>
  <xdr:twoCellAnchor editAs="oneCell">
    <xdr:from>
      <xdr:col>4</xdr:col>
      <xdr:colOff>127</xdr:colOff>
      <xdr:row>121</xdr:row>
      <xdr:rowOff>128271</xdr:rowOff>
    </xdr:from>
    <xdr:to>
      <xdr:col>4</xdr:col>
      <xdr:colOff>266827</xdr:colOff>
      <xdr:row>122</xdr:row>
      <xdr:rowOff>128271</xdr:rowOff>
    </xdr:to>
    <xdr:sp macro="_xll.PtreeEvent_ObjectClick" textlink="">
      <xdr:nvSpPr>
        <xdr:cNvPr id="126" name="PTObj_DNode_8_16">
          <a:extLst>
            <a:ext uri="{FF2B5EF4-FFF2-40B4-BE49-F238E27FC236}">
              <a16:creationId xmlns:a16="http://schemas.microsoft.com/office/drawing/2014/main" id="{83D99E55-A1CE-4473-86A2-81DBAD1ADF5C}"/>
            </a:ext>
          </a:extLst>
        </xdr:cNvPr>
        <xdr:cNvSpPr/>
      </xdr:nvSpPr>
      <xdr:spPr>
        <a:xfrm rot="-5400000">
          <a:off x="6972427" y="32418021"/>
          <a:ext cx="266700" cy="2667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318897</xdr:colOff>
      <xdr:row>121</xdr:row>
      <xdr:rowOff>171307</xdr:rowOff>
    </xdr:from>
    <xdr:ext cx="228588" cy="180627"/>
    <xdr:sp macro="_xll.PtreeEvent_ObjectClick" textlink="">
      <xdr:nvSpPr>
        <xdr:cNvPr id="127" name="PTObj_DBranchName_8_16">
          <a:extLst>
            <a:ext uri="{FF2B5EF4-FFF2-40B4-BE49-F238E27FC236}">
              <a16:creationId xmlns:a16="http://schemas.microsoft.com/office/drawing/2014/main" id="{71C37A0B-56E1-429E-81A9-630E858E14ED}"/>
            </a:ext>
          </a:extLst>
        </xdr:cNvPr>
        <xdr:cNvSpPr txBox="1"/>
      </xdr:nvSpPr>
      <xdr:spPr>
        <a:xfrm>
          <a:off x="5548122" y="32461057"/>
          <a:ext cx="228588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high</a:t>
          </a:r>
        </a:p>
      </xdr:txBody>
    </xdr:sp>
    <xdr:clientData/>
  </xdr:oneCellAnchor>
  <xdr:twoCellAnchor>
    <xdr:from>
      <xdr:col>3</xdr:col>
      <xdr:colOff>1285875</xdr:colOff>
      <xdr:row>121</xdr:row>
      <xdr:rowOff>228600</xdr:rowOff>
    </xdr:from>
    <xdr:to>
      <xdr:col>9</xdr:col>
      <xdr:colOff>676275</xdr:colOff>
      <xdr:row>139</xdr:row>
      <xdr:rowOff>0</xdr:rowOff>
    </xdr:to>
    <xdr:graphicFrame macro="">
      <xdr:nvGraphicFramePr>
        <xdr:cNvPr id="128" name="Chart 127">
          <a:extLst>
            <a:ext uri="{FF2B5EF4-FFF2-40B4-BE49-F238E27FC236}">
              <a16:creationId xmlns:a16="http://schemas.microsoft.com/office/drawing/2014/main" id="{1280ECDE-939A-4648-AC9D-E8DB376A3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50\Box\Jim%20Smith%20(cu50@georgetown.edu)\information%20orders\POMDP%20examples\3statesTechAdoption_.xlsx" TargetMode="External"/><Relationship Id="rId1" Type="http://schemas.openxmlformats.org/officeDocument/2006/relationships/externalLinkPath" Target="3statesTechAdoption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 states"/>
      <sheetName val="treeCalc_6"/>
      <sheetName val="treeCalc_5"/>
      <sheetName val="3 states rev"/>
      <sheetName val="3 states rev old"/>
      <sheetName val="treeCalc_4"/>
      <sheetName val="treeCalc_3"/>
      <sheetName val="2 states"/>
      <sheetName val="treeCalc_10"/>
      <sheetName val="treeCalc_9"/>
      <sheetName val="2 states rev"/>
      <sheetName val="2 states old"/>
      <sheetName val="treeCalc_8"/>
      <sheetName val="treeCalc_7"/>
      <sheetName val="treeCalc_2"/>
      <sheetName val="treeCalc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26">
          <cell r="B126" t="str">
            <v>value from F</v>
          </cell>
          <cell r="C126" t="str">
            <v>Value from G</v>
          </cell>
        </row>
        <row r="127">
          <cell r="A127" t="str">
            <v>prior on high</v>
          </cell>
        </row>
        <row r="128">
          <cell r="A128">
            <v>0</v>
          </cell>
          <cell r="B128">
            <v>0</v>
          </cell>
          <cell r="C128">
            <v>0</v>
          </cell>
        </row>
        <row r="129">
          <cell r="A129">
            <v>0.01</v>
          </cell>
          <cell r="B129">
            <v>0</v>
          </cell>
          <cell r="C129">
            <v>6.4360000000000209E-4</v>
          </cell>
        </row>
        <row r="130">
          <cell r="A130">
            <v>0.02</v>
          </cell>
          <cell r="B130">
            <v>1.9600000000000043E-3</v>
          </cell>
          <cell r="C130">
            <v>1.6071999999999961E-3</v>
          </cell>
        </row>
        <row r="131">
          <cell r="A131">
            <v>0.03</v>
          </cell>
          <cell r="B131">
            <v>3.9399999999999939E-3</v>
          </cell>
          <cell r="C131">
            <v>2.5708000000000193E-3</v>
          </cell>
        </row>
        <row r="132">
          <cell r="A132">
            <v>0.04</v>
          </cell>
          <cell r="B132">
            <v>5.9200000000000008E-3</v>
          </cell>
          <cell r="C132">
            <v>3.5344000000000113E-3</v>
          </cell>
        </row>
        <row r="133">
          <cell r="A133">
            <v>0.05</v>
          </cell>
          <cell r="B133">
            <v>7.9000000000000042E-3</v>
          </cell>
          <cell r="C133">
            <v>4.4980000000000029E-3</v>
          </cell>
        </row>
        <row r="134">
          <cell r="A134">
            <v>0.06</v>
          </cell>
          <cell r="B134">
            <v>9.8800000000000415E-3</v>
          </cell>
          <cell r="C134">
            <v>5.4615999999999909E-3</v>
          </cell>
        </row>
        <row r="135">
          <cell r="A135">
            <v>7.0000000000000007E-2</v>
          </cell>
          <cell r="B135">
            <v>1.1860000000000023E-2</v>
          </cell>
          <cell r="C135">
            <v>6.4252000000000215E-3</v>
          </cell>
        </row>
        <row r="136">
          <cell r="A136">
            <v>0.08</v>
          </cell>
          <cell r="B136">
            <v>1.3839999999999998E-2</v>
          </cell>
          <cell r="C136">
            <v>9.2512000000000115E-3</v>
          </cell>
        </row>
        <row r="137">
          <cell r="A137">
            <v>0.09</v>
          </cell>
          <cell r="B137">
            <v>1.5820000000000004E-2</v>
          </cell>
          <cell r="C137">
            <v>1.2367599999999998E-2</v>
          </cell>
        </row>
        <row r="138">
          <cell r="A138">
            <v>0.1</v>
          </cell>
          <cell r="B138">
            <v>1.7800000000000014E-2</v>
          </cell>
          <cell r="C138">
            <v>1.5484000000000022E-2</v>
          </cell>
        </row>
        <row r="139">
          <cell r="A139">
            <v>0.11</v>
          </cell>
          <cell r="B139">
            <v>1.9779999999999989E-2</v>
          </cell>
          <cell r="C139">
            <v>1.8600399999999975E-2</v>
          </cell>
        </row>
        <row r="140">
          <cell r="A140">
            <v>0.12</v>
          </cell>
          <cell r="B140">
            <v>2.1759999999999995E-2</v>
          </cell>
          <cell r="C140">
            <v>2.1716800000000005E-2</v>
          </cell>
        </row>
        <row r="141">
          <cell r="A141">
            <v>0.13</v>
          </cell>
          <cell r="B141">
            <v>2.3740000000000001E-2</v>
          </cell>
          <cell r="C141">
            <v>2.48332E-2</v>
          </cell>
        </row>
        <row r="142">
          <cell r="A142">
            <v>0.14000000000000001</v>
          </cell>
          <cell r="B142">
            <v>2.572000000000001E-2</v>
          </cell>
          <cell r="C142">
            <v>2.7949600000000029E-2</v>
          </cell>
        </row>
        <row r="143">
          <cell r="A143">
            <v>0.15</v>
          </cell>
          <cell r="B143">
            <v>2.7700000000000016E-2</v>
          </cell>
          <cell r="C143">
            <v>3.1066000000000003E-2</v>
          </cell>
        </row>
        <row r="144">
          <cell r="A144">
            <v>0.16</v>
          </cell>
          <cell r="B144">
            <v>2.9680000000000071E-2</v>
          </cell>
          <cell r="C144">
            <v>3.4182400000000002E-2</v>
          </cell>
        </row>
        <row r="145">
          <cell r="A145">
            <v>0.17</v>
          </cell>
          <cell r="B145">
            <v>3.1660000000000042E-2</v>
          </cell>
          <cell r="C145">
            <v>3.7298800000000035E-2</v>
          </cell>
        </row>
        <row r="146">
          <cell r="A146">
            <v>0.18</v>
          </cell>
          <cell r="B146">
            <v>3.4359999999999981E-2</v>
          </cell>
          <cell r="C146">
            <v>4.0415199999999971E-2</v>
          </cell>
        </row>
        <row r="147">
          <cell r="A147">
            <v>0.19</v>
          </cell>
          <cell r="B147">
            <v>3.837999999999997E-2</v>
          </cell>
          <cell r="C147">
            <v>4.3531599999999962E-2</v>
          </cell>
        </row>
        <row r="148">
          <cell r="A148">
            <v>0.2</v>
          </cell>
          <cell r="B148">
            <v>4.2399999999999986E-2</v>
          </cell>
          <cell r="C148">
            <v>4.6647999999999981E-2</v>
          </cell>
        </row>
        <row r="149">
          <cell r="A149">
            <v>0.21</v>
          </cell>
          <cell r="B149">
            <v>4.6419999999999989E-2</v>
          </cell>
          <cell r="C149">
            <v>4.9764399999999979E-2</v>
          </cell>
        </row>
        <row r="150">
          <cell r="A150">
            <v>0.22</v>
          </cell>
          <cell r="B150">
            <v>5.0439999999999957E-2</v>
          </cell>
          <cell r="C150">
            <v>5.2880799999999978E-2</v>
          </cell>
        </row>
        <row r="151">
          <cell r="A151">
            <v>0.23</v>
          </cell>
          <cell r="B151">
            <v>5.4460000000000008E-2</v>
          </cell>
          <cell r="C151">
            <v>5.5997199999999976E-2</v>
          </cell>
        </row>
        <row r="152">
          <cell r="A152">
            <v>0.24</v>
          </cell>
          <cell r="B152">
            <v>5.8480000000000053E-2</v>
          </cell>
          <cell r="C152">
            <v>5.9113599999999981E-2</v>
          </cell>
        </row>
        <row r="153">
          <cell r="A153">
            <v>0.25</v>
          </cell>
          <cell r="B153">
            <v>6.2500000000000014E-2</v>
          </cell>
          <cell r="C153">
            <v>6.222999999999998E-2</v>
          </cell>
        </row>
        <row r="154">
          <cell r="A154">
            <v>0.26</v>
          </cell>
          <cell r="B154">
            <v>6.6519999999999996E-2</v>
          </cell>
          <cell r="C154">
            <v>6.5346400000000054E-2</v>
          </cell>
        </row>
        <row r="155">
          <cell r="A155">
            <v>0.27</v>
          </cell>
          <cell r="B155">
            <v>7.0540000000000019E-2</v>
          </cell>
          <cell r="C155">
            <v>6.8462800000000004E-2</v>
          </cell>
        </row>
        <row r="156">
          <cell r="A156">
            <v>0.28000000000000003</v>
          </cell>
          <cell r="B156">
            <v>7.4560000000000029E-2</v>
          </cell>
          <cell r="C156">
            <v>7.1579200000000037E-2</v>
          </cell>
        </row>
        <row r="157">
          <cell r="A157">
            <v>0.28999999999999998</v>
          </cell>
          <cell r="B157">
            <v>7.8579999999999997E-2</v>
          </cell>
          <cell r="C157">
            <v>7.4695600000000056E-2</v>
          </cell>
        </row>
        <row r="158">
          <cell r="A158">
            <v>0.3</v>
          </cell>
          <cell r="B158">
            <v>8.2599999999999993E-2</v>
          </cell>
          <cell r="C158">
            <v>7.7812000000000006E-2</v>
          </cell>
        </row>
        <row r="159">
          <cell r="A159">
            <v>0.31</v>
          </cell>
          <cell r="B159">
            <v>8.6619999999999989E-2</v>
          </cell>
          <cell r="C159">
            <v>8.0928400000000053E-2</v>
          </cell>
        </row>
        <row r="160">
          <cell r="A160">
            <v>0.32</v>
          </cell>
          <cell r="B160">
            <v>9.0639999999999984E-2</v>
          </cell>
          <cell r="C160">
            <v>8.4044800000000031E-2</v>
          </cell>
        </row>
        <row r="161">
          <cell r="A161">
            <v>0.33</v>
          </cell>
          <cell r="B161">
            <v>9.4660000000000077E-2</v>
          </cell>
          <cell r="C161">
            <v>8.7161200000000022E-2</v>
          </cell>
        </row>
        <row r="162">
          <cell r="A162">
            <v>0.34</v>
          </cell>
          <cell r="B162">
            <v>9.8680000000000073E-2</v>
          </cell>
          <cell r="C162">
            <v>9.0277600000000041E-2</v>
          </cell>
        </row>
        <row r="163">
          <cell r="A163">
            <v>0.35</v>
          </cell>
          <cell r="B163">
            <v>0.1027</v>
          </cell>
          <cell r="C163">
            <v>9.3393999999999977E-2</v>
          </cell>
        </row>
        <row r="164">
          <cell r="A164">
            <v>0.36</v>
          </cell>
          <cell r="B164">
            <v>0.10672000000000001</v>
          </cell>
          <cell r="C164">
            <v>9.6510400000000024E-2</v>
          </cell>
        </row>
        <row r="165">
          <cell r="A165">
            <v>0.37</v>
          </cell>
          <cell r="B165">
            <v>0.11073999999999998</v>
          </cell>
          <cell r="C165">
            <v>9.962679999999996E-2</v>
          </cell>
        </row>
        <row r="166">
          <cell r="A166">
            <v>0.38</v>
          </cell>
          <cell r="B166">
            <v>0.11475999999999999</v>
          </cell>
          <cell r="C166">
            <v>0.10274320000000001</v>
          </cell>
        </row>
        <row r="167">
          <cell r="A167">
            <v>0.39</v>
          </cell>
          <cell r="B167">
            <v>0.11878000000000002</v>
          </cell>
          <cell r="C167">
            <v>0.10585959999999994</v>
          </cell>
        </row>
        <row r="168">
          <cell r="A168">
            <v>0.4</v>
          </cell>
          <cell r="B168">
            <v>0.12280000000000002</v>
          </cell>
          <cell r="C168">
            <v>0.10897599999999998</v>
          </cell>
        </row>
        <row r="169">
          <cell r="A169">
            <v>0.41</v>
          </cell>
          <cell r="B169">
            <v>0.12681999999999996</v>
          </cell>
          <cell r="C169">
            <v>0.11209239999999999</v>
          </cell>
        </row>
        <row r="170">
          <cell r="A170">
            <v>0.42</v>
          </cell>
          <cell r="B170">
            <v>0.13083999999999998</v>
          </cell>
          <cell r="C170">
            <v>0.1152088</v>
          </cell>
        </row>
        <row r="171">
          <cell r="A171">
            <v>0.43</v>
          </cell>
          <cell r="B171">
            <v>0.13486000000000001</v>
          </cell>
          <cell r="C171">
            <v>0.11832519999999996</v>
          </cell>
        </row>
        <row r="172">
          <cell r="A172">
            <v>0.44</v>
          </cell>
          <cell r="B172">
            <v>0.13888</v>
          </cell>
          <cell r="C172">
            <v>0.12144160000000001</v>
          </cell>
        </row>
        <row r="173">
          <cell r="A173">
            <v>0.45</v>
          </cell>
          <cell r="B173">
            <v>0.14289999999999997</v>
          </cell>
          <cell r="C173">
            <v>0.124558</v>
          </cell>
        </row>
        <row r="174">
          <cell r="A174">
            <v>0.46</v>
          </cell>
          <cell r="B174">
            <v>0.14691999999999997</v>
          </cell>
          <cell r="C174">
            <v>0.12767439999999999</v>
          </cell>
        </row>
        <row r="175">
          <cell r="A175">
            <v>0.47</v>
          </cell>
          <cell r="B175">
            <v>0.15093999999999996</v>
          </cell>
          <cell r="C175">
            <v>0.13079080000000001</v>
          </cell>
        </row>
        <row r="176">
          <cell r="A176">
            <v>0.48</v>
          </cell>
          <cell r="B176">
            <v>0.15495999999999999</v>
          </cell>
          <cell r="C176">
            <v>0.1339072</v>
          </cell>
        </row>
        <row r="177">
          <cell r="A177">
            <v>0.49</v>
          </cell>
          <cell r="B177">
            <v>0.15898000000000001</v>
          </cell>
          <cell r="C177">
            <v>0.13702360000000002</v>
          </cell>
        </row>
        <row r="178">
          <cell r="A178">
            <v>0.5</v>
          </cell>
          <cell r="B178">
            <v>0.16299999999999998</v>
          </cell>
          <cell r="C178">
            <v>0.14013999999999999</v>
          </cell>
        </row>
        <row r="179">
          <cell r="A179">
            <v>0.51</v>
          </cell>
          <cell r="B179">
            <v>0.16701999999999997</v>
          </cell>
          <cell r="C179">
            <v>0.14325639999999995</v>
          </cell>
        </row>
        <row r="180">
          <cell r="A180">
            <v>0.52</v>
          </cell>
          <cell r="B180">
            <v>0.17104</v>
          </cell>
          <cell r="C180">
            <v>0.14637279999999997</v>
          </cell>
        </row>
        <row r="181">
          <cell r="A181">
            <v>0.53</v>
          </cell>
          <cell r="B181">
            <v>0.17506000000000002</v>
          </cell>
          <cell r="C181">
            <v>0.14948919999999999</v>
          </cell>
        </row>
        <row r="182">
          <cell r="A182">
            <v>0.54</v>
          </cell>
          <cell r="B182">
            <v>0.17908000000000002</v>
          </cell>
          <cell r="C182">
            <v>0.15260560000000001</v>
          </cell>
        </row>
        <row r="183">
          <cell r="A183">
            <v>0.55000000000000004</v>
          </cell>
          <cell r="B183">
            <v>0.18309999999999998</v>
          </cell>
          <cell r="C183">
            <v>0.155722</v>
          </cell>
        </row>
        <row r="184">
          <cell r="A184">
            <v>0.56000000000000005</v>
          </cell>
          <cell r="B184">
            <v>0.18712000000000001</v>
          </cell>
          <cell r="C184">
            <v>0.15883840000000007</v>
          </cell>
        </row>
        <row r="185">
          <cell r="A185">
            <v>0.56999999999999995</v>
          </cell>
          <cell r="B185">
            <v>0.19113999999999998</v>
          </cell>
          <cell r="C185">
            <v>0.16195479999999998</v>
          </cell>
        </row>
        <row r="186">
          <cell r="A186">
            <v>0.57999999999999996</v>
          </cell>
          <cell r="B186">
            <v>0.19515999999999994</v>
          </cell>
          <cell r="C186">
            <v>0.16507119999999995</v>
          </cell>
        </row>
        <row r="187">
          <cell r="A187">
            <v>0.59</v>
          </cell>
          <cell r="B187">
            <v>0.19918000000000002</v>
          </cell>
          <cell r="C187">
            <v>0.16818759999999996</v>
          </cell>
        </row>
        <row r="188">
          <cell r="A188">
            <v>0.6</v>
          </cell>
          <cell r="B188">
            <v>0.20319999999999996</v>
          </cell>
          <cell r="C188">
            <v>0.17130399999999996</v>
          </cell>
        </row>
        <row r="189">
          <cell r="A189">
            <v>0.61</v>
          </cell>
          <cell r="B189">
            <v>0.20721999999999996</v>
          </cell>
          <cell r="C189">
            <v>0.17442039999999995</v>
          </cell>
        </row>
        <row r="190">
          <cell r="A190">
            <v>0.62</v>
          </cell>
          <cell r="B190">
            <v>0.21124000000000001</v>
          </cell>
          <cell r="C190">
            <v>0.17753679999999999</v>
          </cell>
        </row>
        <row r="191">
          <cell r="A191">
            <v>0.63</v>
          </cell>
          <cell r="B191">
            <v>0.21525999999999995</v>
          </cell>
          <cell r="C191">
            <v>0.18065320000000001</v>
          </cell>
        </row>
        <row r="192">
          <cell r="A192">
            <v>0.64</v>
          </cell>
          <cell r="B192">
            <v>0.21928</v>
          </cell>
          <cell r="C192">
            <v>0.184</v>
          </cell>
        </row>
        <row r="193">
          <cell r="A193">
            <v>0.65</v>
          </cell>
          <cell r="B193">
            <v>0.2233</v>
          </cell>
          <cell r="C193">
            <v>0.19</v>
          </cell>
        </row>
        <row r="194">
          <cell r="A194">
            <v>0.66</v>
          </cell>
          <cell r="B194">
            <v>0.22731999999999997</v>
          </cell>
          <cell r="C194">
            <v>0.19600000000000001</v>
          </cell>
        </row>
        <row r="195">
          <cell r="A195">
            <v>0.67</v>
          </cell>
          <cell r="B195">
            <v>0.23134000000000005</v>
          </cell>
          <cell r="C195">
            <v>0.20200000000000004</v>
          </cell>
        </row>
        <row r="196">
          <cell r="A196">
            <v>0.68</v>
          </cell>
          <cell r="B196">
            <v>0.23535999999999996</v>
          </cell>
          <cell r="C196">
            <v>0.20800000000000002</v>
          </cell>
        </row>
        <row r="197">
          <cell r="A197">
            <v>0.69</v>
          </cell>
          <cell r="B197">
            <v>0.23937999999999998</v>
          </cell>
          <cell r="C197">
            <v>0.21399999999999994</v>
          </cell>
        </row>
        <row r="198">
          <cell r="A198">
            <v>0.7</v>
          </cell>
          <cell r="B198">
            <v>0.24339999999999998</v>
          </cell>
          <cell r="C198">
            <v>0.21999999999999992</v>
          </cell>
        </row>
        <row r="199">
          <cell r="A199">
            <v>0.71</v>
          </cell>
          <cell r="B199">
            <v>0.24741999999999992</v>
          </cell>
          <cell r="C199">
            <v>0.22599999999999998</v>
          </cell>
        </row>
        <row r="200">
          <cell r="A200">
            <v>0.72</v>
          </cell>
          <cell r="B200">
            <v>0.25144</v>
          </cell>
          <cell r="C200">
            <v>0.23199999999999998</v>
          </cell>
        </row>
        <row r="201">
          <cell r="A201">
            <v>0.73</v>
          </cell>
          <cell r="B201">
            <v>0.25545999999999996</v>
          </cell>
          <cell r="C201">
            <v>0.23799999999999999</v>
          </cell>
        </row>
        <row r="202">
          <cell r="A202">
            <v>0.74</v>
          </cell>
          <cell r="B202">
            <v>0.25947999999999993</v>
          </cell>
          <cell r="C202">
            <v>0.24399999999999999</v>
          </cell>
        </row>
        <row r="203">
          <cell r="A203">
            <v>0.75</v>
          </cell>
          <cell r="B203">
            <v>0.26349999999999996</v>
          </cell>
          <cell r="C203">
            <v>0.24999999999999997</v>
          </cell>
        </row>
        <row r="204">
          <cell r="A204">
            <v>0.76</v>
          </cell>
          <cell r="B204">
            <v>0.26751999999999998</v>
          </cell>
          <cell r="C204">
            <v>0.25599999999999995</v>
          </cell>
        </row>
        <row r="205">
          <cell r="A205">
            <v>0.77</v>
          </cell>
          <cell r="B205">
            <v>0.27154</v>
          </cell>
          <cell r="C205">
            <v>0.26200000000000001</v>
          </cell>
        </row>
        <row r="206">
          <cell r="A206">
            <v>0.78</v>
          </cell>
          <cell r="B206">
            <v>0.27556000000000003</v>
          </cell>
          <cell r="C206">
            <v>0.26800000000000002</v>
          </cell>
        </row>
        <row r="207">
          <cell r="A207">
            <v>0.79</v>
          </cell>
          <cell r="B207">
            <v>0.27958</v>
          </cell>
          <cell r="C207">
            <v>0.27399999999999997</v>
          </cell>
        </row>
        <row r="208">
          <cell r="A208">
            <v>0.8</v>
          </cell>
          <cell r="B208">
            <v>0.28359999999999996</v>
          </cell>
          <cell r="C208">
            <v>0.28000000000000003</v>
          </cell>
        </row>
        <row r="209">
          <cell r="A209">
            <v>0.81</v>
          </cell>
          <cell r="B209">
            <v>0.28761999999999999</v>
          </cell>
          <cell r="C209">
            <v>0.28600000000000003</v>
          </cell>
        </row>
        <row r="210">
          <cell r="A210">
            <v>0.82</v>
          </cell>
          <cell r="B210">
            <v>0.29199999999999993</v>
          </cell>
          <cell r="C210">
            <v>0.29199999999999998</v>
          </cell>
        </row>
        <row r="211">
          <cell r="A211">
            <v>0.83</v>
          </cell>
          <cell r="B211">
            <v>0.29799999999999993</v>
          </cell>
          <cell r="C211">
            <v>0.29799999999999993</v>
          </cell>
        </row>
        <row r="212">
          <cell r="A212">
            <v>0.84</v>
          </cell>
          <cell r="B212">
            <v>0.30399999999999994</v>
          </cell>
          <cell r="C212">
            <v>0.30399999999999999</v>
          </cell>
        </row>
        <row r="213">
          <cell r="A213">
            <v>0.85</v>
          </cell>
          <cell r="B213">
            <v>0.31</v>
          </cell>
          <cell r="C213">
            <v>0.30999999999999994</v>
          </cell>
        </row>
        <row r="214">
          <cell r="A214">
            <v>0.86</v>
          </cell>
          <cell r="B214">
            <v>0.31599999999999995</v>
          </cell>
          <cell r="C214">
            <v>0.31599999999999995</v>
          </cell>
        </row>
        <row r="215">
          <cell r="A215">
            <v>0.87</v>
          </cell>
          <cell r="B215">
            <v>0.32199999999999995</v>
          </cell>
          <cell r="C215">
            <v>0.32199999999999995</v>
          </cell>
        </row>
        <row r="216">
          <cell r="A216">
            <v>0.88</v>
          </cell>
          <cell r="B216">
            <v>0.32800000000000007</v>
          </cell>
          <cell r="C216">
            <v>0.32799999999999996</v>
          </cell>
        </row>
        <row r="217">
          <cell r="A217">
            <v>0.89</v>
          </cell>
          <cell r="B217">
            <v>0.33399999999999996</v>
          </cell>
          <cell r="C217">
            <v>0.33399999999999996</v>
          </cell>
        </row>
        <row r="218">
          <cell r="A218">
            <v>0.9</v>
          </cell>
          <cell r="B218">
            <v>0.34</v>
          </cell>
          <cell r="C218">
            <v>0.33999999999999997</v>
          </cell>
        </row>
        <row r="219">
          <cell r="A219">
            <v>0.91</v>
          </cell>
          <cell r="B219">
            <v>0.34600000000000003</v>
          </cell>
          <cell r="C219">
            <v>0.34599999999999997</v>
          </cell>
        </row>
        <row r="220">
          <cell r="A220">
            <v>0.92</v>
          </cell>
          <cell r="B220">
            <v>0.35199999999999998</v>
          </cell>
          <cell r="C220">
            <v>0.35199999999999998</v>
          </cell>
        </row>
        <row r="221">
          <cell r="A221">
            <v>0.93</v>
          </cell>
          <cell r="B221">
            <v>0.35800000000000004</v>
          </cell>
          <cell r="C221">
            <v>0.35799999999999998</v>
          </cell>
        </row>
        <row r="222">
          <cell r="A222">
            <v>0.94</v>
          </cell>
          <cell r="B222">
            <v>0.36399999999999999</v>
          </cell>
          <cell r="C222">
            <v>0.36399999999999988</v>
          </cell>
        </row>
        <row r="223">
          <cell r="A223">
            <v>0.95</v>
          </cell>
          <cell r="B223">
            <v>0.36999999999999994</v>
          </cell>
          <cell r="C223">
            <v>0.36999999999999994</v>
          </cell>
        </row>
        <row r="224">
          <cell r="A224">
            <v>0.96</v>
          </cell>
          <cell r="B224">
            <v>0.37599999999999989</v>
          </cell>
          <cell r="C224">
            <v>0.37599999999999995</v>
          </cell>
        </row>
        <row r="225">
          <cell r="A225">
            <v>0.97</v>
          </cell>
          <cell r="B225">
            <v>0.38199999999999995</v>
          </cell>
          <cell r="C225">
            <v>0.38199999999999995</v>
          </cell>
        </row>
        <row r="226">
          <cell r="A226">
            <v>0.98</v>
          </cell>
          <cell r="B226">
            <v>0.3879999999999999</v>
          </cell>
          <cell r="C226">
            <v>0.38799999999999996</v>
          </cell>
        </row>
        <row r="227">
          <cell r="A227">
            <v>0.99</v>
          </cell>
          <cell r="B227">
            <v>0.39399999999999996</v>
          </cell>
          <cell r="C227">
            <v>0.39399999999999996</v>
          </cell>
        </row>
        <row r="228">
          <cell r="A228">
            <v>1</v>
          </cell>
          <cell r="B228">
            <v>0.4</v>
          </cell>
          <cell r="C228">
            <v>0.39999999999999991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4270-5F4D-4FEB-A8BC-530E12A29BB8}">
  <dimension ref="A1:R228"/>
  <sheetViews>
    <sheetView tabSelected="1" workbookViewId="0">
      <selection activeCell="I13" sqref="I13"/>
    </sheetView>
  </sheetViews>
  <sheetFormatPr defaultRowHeight="21" x14ac:dyDescent="0.35"/>
  <cols>
    <col min="1" max="5" width="16.6328125" customWidth="1"/>
  </cols>
  <sheetData>
    <row r="1" spans="1:18" x14ac:dyDescent="0.35">
      <c r="A1" s="1" t="s">
        <v>0</v>
      </c>
    </row>
    <row r="2" spans="1:18" ht="21.75" thickBot="1" x14ac:dyDescent="0.4"/>
    <row r="3" spans="1:18" x14ac:dyDescent="0.35">
      <c r="A3" t="s">
        <v>1</v>
      </c>
      <c r="B3">
        <v>1</v>
      </c>
      <c r="D3" s="2" t="s">
        <v>2</v>
      </c>
      <c r="E3" s="3">
        <f>B64</f>
        <v>0.12280000000000002</v>
      </c>
      <c r="G3" t="s">
        <v>3</v>
      </c>
    </row>
    <row r="4" spans="1:18" ht="21.75" thickBot="1" x14ac:dyDescent="0.4">
      <c r="A4" t="s">
        <v>4</v>
      </c>
      <c r="B4">
        <v>0.3</v>
      </c>
      <c r="D4" s="4" t="s">
        <v>5</v>
      </c>
      <c r="E4" s="5">
        <f>B103</f>
        <v>0.10897599999999998</v>
      </c>
    </row>
    <row r="5" spans="1:18" x14ac:dyDescent="0.35">
      <c r="A5" t="s">
        <v>6</v>
      </c>
      <c r="B5">
        <v>0.02</v>
      </c>
      <c r="E5" t="s">
        <v>7</v>
      </c>
      <c r="F5" t="s">
        <v>8</v>
      </c>
      <c r="O5" t="s">
        <v>7</v>
      </c>
      <c r="P5" t="s">
        <v>9</v>
      </c>
    </row>
    <row r="6" spans="1:18" x14ac:dyDescent="0.35">
      <c r="C6" t="s">
        <v>10</v>
      </c>
      <c r="D6" t="s">
        <v>11</v>
      </c>
      <c r="E6">
        <v>0</v>
      </c>
      <c r="F6">
        <v>1</v>
      </c>
      <c r="G6">
        <v>2</v>
      </c>
      <c r="H6" t="s">
        <v>12</v>
      </c>
      <c r="I6" t="s">
        <v>13</v>
      </c>
      <c r="K6" t="s">
        <v>14</v>
      </c>
      <c r="N6" t="s">
        <v>10</v>
      </c>
      <c r="O6">
        <v>0</v>
      </c>
      <c r="P6">
        <v>1</v>
      </c>
      <c r="Q6">
        <v>2</v>
      </c>
      <c r="R6" t="s">
        <v>12</v>
      </c>
    </row>
    <row r="7" spans="1:18" x14ac:dyDescent="0.35">
      <c r="B7" t="s">
        <v>15</v>
      </c>
      <c r="C7" t="s">
        <v>16</v>
      </c>
      <c r="D7" s="6">
        <v>0.1</v>
      </c>
      <c r="E7">
        <f>_xlfn.BINOM.DIST(E$6,2,$D7*$I7,0)</f>
        <v>0.92159999999999997</v>
      </c>
      <c r="F7">
        <f t="shared" ref="F7:G8" si="0">_xlfn.BINOM.DIST(F$6,2,$D7*$I7,0)</f>
        <v>7.6800000000000007E-2</v>
      </c>
      <c r="G7">
        <f t="shared" si="0"/>
        <v>1.6000000000000005E-3</v>
      </c>
      <c r="H7" s="7">
        <f>SUM(E7:G7)</f>
        <v>1</v>
      </c>
      <c r="I7">
        <v>0.4</v>
      </c>
      <c r="K7">
        <f>1-K8</f>
        <v>0.6</v>
      </c>
      <c r="M7" t="s">
        <v>17</v>
      </c>
      <c r="N7" t="s">
        <v>16</v>
      </c>
      <c r="O7">
        <f>_xlfn.BINOM.DIST(O$6,2,$D7,0)</f>
        <v>0.80999999999999994</v>
      </c>
      <c r="P7">
        <f t="shared" ref="P7:Q8" si="1">_xlfn.BINOM.DIST(P$6,2,$D7,0)</f>
        <v>0.18000000000000002</v>
      </c>
      <c r="Q7">
        <f t="shared" si="1"/>
        <v>1.0000000000000004E-2</v>
      </c>
      <c r="R7" s="7">
        <f>SUM(O7:Q7)</f>
        <v>1</v>
      </c>
    </row>
    <row r="8" spans="1:18" x14ac:dyDescent="0.35">
      <c r="C8" t="s">
        <v>18</v>
      </c>
      <c r="D8" s="6">
        <v>0.7</v>
      </c>
      <c r="E8">
        <f t="shared" ref="E8" si="2">_xlfn.BINOM.DIST(E$6,2,$D8*$I8,0)</f>
        <v>0.2601</v>
      </c>
      <c r="F8">
        <f t="shared" si="0"/>
        <v>0.49979999999999997</v>
      </c>
      <c r="G8">
        <f t="shared" si="0"/>
        <v>0.24009999999999992</v>
      </c>
      <c r="H8" s="7">
        <f t="shared" ref="H8" si="3">SUM(E8:G8)</f>
        <v>1</v>
      </c>
      <c r="I8">
        <v>0.7</v>
      </c>
      <c r="K8" s="8">
        <v>0.4</v>
      </c>
      <c r="N8" t="s">
        <v>18</v>
      </c>
      <c r="O8">
        <f>_xlfn.BINOM.DIST(O$6,2,$D8,0)</f>
        <v>9.0000000000000011E-2</v>
      </c>
      <c r="P8">
        <f t="shared" si="1"/>
        <v>0.41999999999999993</v>
      </c>
      <c r="Q8">
        <f t="shared" si="1"/>
        <v>0.48999999999999994</v>
      </c>
      <c r="R8" s="7">
        <f t="shared" ref="R8" si="4">SUM(O8:Q8)</f>
        <v>0.99999999999999978</v>
      </c>
    </row>
    <row r="10" spans="1:18" x14ac:dyDescent="0.35">
      <c r="A10" t="s">
        <v>19</v>
      </c>
    </row>
    <row r="11" spans="1:18" x14ac:dyDescent="0.35">
      <c r="B11" t="str">
        <f>C7</f>
        <v>low</v>
      </c>
      <c r="C11" t="s">
        <v>9</v>
      </c>
      <c r="G11" t="str">
        <f>C8</f>
        <v>high</v>
      </c>
      <c r="H11" t="s">
        <v>9</v>
      </c>
    </row>
    <row r="12" spans="1:18" x14ac:dyDescent="0.35">
      <c r="B12" t="s">
        <v>8</v>
      </c>
      <c r="C12">
        <v>0</v>
      </c>
      <c r="D12">
        <v>1</v>
      </c>
      <c r="E12">
        <v>2</v>
      </c>
      <c r="G12" t="s">
        <v>8</v>
      </c>
      <c r="H12">
        <v>0</v>
      </c>
      <c r="I12">
        <v>1</v>
      </c>
      <c r="J12">
        <v>2</v>
      </c>
    </row>
    <row r="13" spans="1:18" x14ac:dyDescent="0.35">
      <c r="B13">
        <v>0</v>
      </c>
      <c r="C13">
        <f t="shared" ref="C13:E15" si="5">IF($B13&lt;=C$12,_xlfn.BINOM.DIST($B13,C$12,$I$7,0),0)</f>
        <v>1</v>
      </c>
      <c r="D13">
        <f t="shared" si="5"/>
        <v>0.6</v>
      </c>
      <c r="E13">
        <f t="shared" si="5"/>
        <v>0.36</v>
      </c>
      <c r="G13">
        <v>0</v>
      </c>
      <c r="H13">
        <f t="shared" ref="H13:J15" si="6">IF($G13&lt;=H$12,_xlfn.BINOM.DIST($G13,H$12,$I$8,0),0)</f>
        <v>1</v>
      </c>
      <c r="I13">
        <f t="shared" si="6"/>
        <v>0.30000000000000004</v>
      </c>
      <c r="J13">
        <f t="shared" si="6"/>
        <v>9.0000000000000011E-2</v>
      </c>
    </row>
    <row r="14" spans="1:18" x14ac:dyDescent="0.35">
      <c r="B14">
        <v>1</v>
      </c>
      <c r="C14">
        <f t="shared" si="5"/>
        <v>0</v>
      </c>
      <c r="D14">
        <f t="shared" si="5"/>
        <v>0.4</v>
      </c>
      <c r="E14">
        <f t="shared" si="5"/>
        <v>0.48</v>
      </c>
      <c r="G14">
        <v>1</v>
      </c>
      <c r="H14">
        <f t="shared" si="6"/>
        <v>0</v>
      </c>
      <c r="I14">
        <f t="shared" si="6"/>
        <v>0.7</v>
      </c>
      <c r="J14">
        <f t="shared" si="6"/>
        <v>0.41999999999999993</v>
      </c>
    </row>
    <row r="15" spans="1:18" x14ac:dyDescent="0.35">
      <c r="B15">
        <v>2</v>
      </c>
      <c r="C15">
        <f t="shared" si="5"/>
        <v>0</v>
      </c>
      <c r="D15">
        <f t="shared" si="5"/>
        <v>0</v>
      </c>
      <c r="E15">
        <f t="shared" si="5"/>
        <v>0.16000000000000003</v>
      </c>
      <c r="G15">
        <v>2</v>
      </c>
      <c r="H15">
        <f t="shared" si="6"/>
        <v>0</v>
      </c>
      <c r="I15">
        <f t="shared" si="6"/>
        <v>0</v>
      </c>
      <c r="J15">
        <f t="shared" si="6"/>
        <v>0.48999999999999994</v>
      </c>
    </row>
    <row r="16" spans="1:18" x14ac:dyDescent="0.35">
      <c r="B16" t="s">
        <v>12</v>
      </c>
      <c r="C16" s="7">
        <f>SUM(C13:C15)</f>
        <v>1</v>
      </c>
      <c r="D16" s="7">
        <f t="shared" ref="D16:E16" si="7">SUM(D13:D15)</f>
        <v>1</v>
      </c>
      <c r="E16" s="7">
        <f t="shared" si="7"/>
        <v>1</v>
      </c>
      <c r="G16" t="s">
        <v>12</v>
      </c>
      <c r="H16" s="7">
        <f>SUM(H13:H15)</f>
        <v>1</v>
      </c>
      <c r="I16" s="7">
        <f t="shared" ref="I16:J16" si="8">SUM(I13:I15)</f>
        <v>1</v>
      </c>
      <c r="J16" s="7">
        <f t="shared" si="8"/>
        <v>0.99999999999999978</v>
      </c>
    </row>
    <row r="18" spans="2:14" x14ac:dyDescent="0.35">
      <c r="B18" t="s">
        <v>20</v>
      </c>
      <c r="C18">
        <f t="shared" ref="C18:E19" si="9">C14/C13</f>
        <v>0</v>
      </c>
      <c r="D18">
        <f t="shared" si="9"/>
        <v>0.66666666666666674</v>
      </c>
      <c r="E18">
        <f t="shared" si="9"/>
        <v>1.3333333333333333</v>
      </c>
      <c r="H18">
        <f t="shared" ref="H18:J19" si="10">H14/H13</f>
        <v>0</v>
      </c>
      <c r="I18">
        <f t="shared" si="10"/>
        <v>2.333333333333333</v>
      </c>
      <c r="J18">
        <f t="shared" si="10"/>
        <v>4.6666666666666652</v>
      </c>
    </row>
    <row r="19" spans="2:14" x14ac:dyDescent="0.35">
      <c r="C19" t="e">
        <f t="shared" si="9"/>
        <v>#DIV/0!</v>
      </c>
      <c r="D19">
        <f t="shared" si="9"/>
        <v>0</v>
      </c>
      <c r="E19">
        <f t="shared" si="9"/>
        <v>0.33333333333333343</v>
      </c>
      <c r="H19" t="e">
        <f t="shared" si="10"/>
        <v>#DIV/0!</v>
      </c>
      <c r="I19">
        <f t="shared" si="10"/>
        <v>0</v>
      </c>
      <c r="J19">
        <f t="shared" si="10"/>
        <v>1.1666666666666667</v>
      </c>
    </row>
    <row r="21" spans="2:14" x14ac:dyDescent="0.35">
      <c r="D21" t="str" cm="1">
        <f t="array" ref="D21">IF(SUM(IF(D18:E19&gt;=I18:J19,1,0)),"LR dominates", "error")</f>
        <v>LR dominates</v>
      </c>
    </row>
    <row r="23" spans="2:14" x14ac:dyDescent="0.35">
      <c r="B23" t="s">
        <v>21</v>
      </c>
    </row>
    <row r="24" spans="2:14" x14ac:dyDescent="0.35">
      <c r="B24" cm="1">
        <f t="array" ref="B24:D24">MMULT(O7:Q7,TRANSPOSE(C13:E15))</f>
        <v>0.92159999999999997</v>
      </c>
      <c r="C24">
        <v>7.6800000000000007E-2</v>
      </c>
      <c r="D24">
        <v>1.6000000000000009E-3</v>
      </c>
      <c r="E24" s="7">
        <f>SUM(_xlfn.ANCHORARRAY(B24))</f>
        <v>1</v>
      </c>
    </row>
    <row r="25" spans="2:14" x14ac:dyDescent="0.35">
      <c r="B25" cm="1">
        <f t="array" ref="B25:D25">MMULT(O8:Q8,TRANSPOSE(H13:J15))</f>
        <v>0.2601</v>
      </c>
      <c r="C25">
        <v>0.49979999999999986</v>
      </c>
      <c r="D25">
        <v>0.24009999999999992</v>
      </c>
      <c r="E25" s="7">
        <f t="shared" ref="E25" si="11">SUM(_xlfn.ANCHORARRAY(B25))</f>
        <v>0.99999999999999978</v>
      </c>
    </row>
    <row r="28" spans="2:14" x14ac:dyDescent="0.35">
      <c r="B28" t="s">
        <v>22</v>
      </c>
    </row>
    <row r="29" spans="2:14" x14ac:dyDescent="0.35">
      <c r="C29" t="s">
        <v>9</v>
      </c>
    </row>
    <row r="30" spans="2:14" x14ac:dyDescent="0.35">
      <c r="B30" t="s">
        <v>8</v>
      </c>
      <c r="C30">
        <v>0</v>
      </c>
      <c r="D30">
        <v>1</v>
      </c>
      <c r="E30">
        <v>2</v>
      </c>
      <c r="H30" t="s">
        <v>23</v>
      </c>
      <c r="L30" t="s">
        <v>24</v>
      </c>
    </row>
    <row r="31" spans="2:14" x14ac:dyDescent="0.35">
      <c r="B31">
        <v>0</v>
      </c>
      <c r="C31" s="9">
        <v>1</v>
      </c>
      <c r="D31" s="9">
        <v>1.0074999999999957E-2</v>
      </c>
      <c r="E31" s="9">
        <v>0</v>
      </c>
      <c r="H31" cm="1">
        <f t="array" ref="H31:J32">MMULT(O7:Q8,TRANSPOSE(C31:E33))</f>
        <v>0.81181349999999997</v>
      </c>
      <c r="I31">
        <v>0.17518199999999998</v>
      </c>
      <c r="J31">
        <v>1.3004500000000068E-2</v>
      </c>
      <c r="L31" cm="1">
        <f t="array" ref="L31:N32">E7:G8-_xlfn.ANCHORARRAY(H31)</f>
        <v>0.10978650000000001</v>
      </c>
      <c r="M31">
        <v>-9.8381999999999969E-2</v>
      </c>
      <c r="N31">
        <v>-1.1404500000000067E-2</v>
      </c>
    </row>
    <row r="32" spans="2:14" x14ac:dyDescent="0.35">
      <c r="B32">
        <v>1</v>
      </c>
      <c r="C32" s="9">
        <v>0</v>
      </c>
      <c r="D32" s="9">
        <v>0.97070399999999968</v>
      </c>
      <c r="E32" s="9">
        <v>4.5528000000000401E-2</v>
      </c>
      <c r="H32">
        <v>9.4231499999999996E-2</v>
      </c>
      <c r="I32">
        <v>0.43000439999999995</v>
      </c>
      <c r="J32">
        <v>0.47576409999999986</v>
      </c>
      <c r="L32">
        <v>0.1658685</v>
      </c>
      <c r="M32">
        <v>6.9795600000000013E-2</v>
      </c>
      <c r="N32">
        <v>-0.23566409999999993</v>
      </c>
    </row>
    <row r="33" spans="2:14" x14ac:dyDescent="0.35">
      <c r="B33">
        <v>2</v>
      </c>
      <c r="C33">
        <f>1-SUM(C31:C32)</f>
        <v>0</v>
      </c>
      <c r="D33">
        <f t="shared" ref="D33:E33" si="12">1-SUM(D31:D32)</f>
        <v>1.9221000000000377E-2</v>
      </c>
      <c r="E33">
        <f t="shared" si="12"/>
        <v>0.95447199999999954</v>
      </c>
    </row>
    <row r="34" spans="2:14" x14ac:dyDescent="0.35">
      <c r="B34" t="s">
        <v>12</v>
      </c>
      <c r="C34" s="7">
        <f>SUM(C31:C33)</f>
        <v>1</v>
      </c>
      <c r="D34" s="7">
        <f t="shared" ref="D34:E34" si="13">SUM(D31:D33)</f>
        <v>1</v>
      </c>
      <c r="E34" s="7">
        <f t="shared" si="13"/>
        <v>1</v>
      </c>
    </row>
    <row r="36" spans="2:14" x14ac:dyDescent="0.35">
      <c r="C36" t="s">
        <v>25</v>
      </c>
    </row>
    <row r="39" spans="2:14" x14ac:dyDescent="0.35">
      <c r="B39" t="s">
        <v>15</v>
      </c>
      <c r="C39" t="s">
        <v>26</v>
      </c>
      <c r="J39" t="s">
        <v>17</v>
      </c>
      <c r="K39" t="s">
        <v>26</v>
      </c>
    </row>
    <row r="40" spans="2:14" x14ac:dyDescent="0.35">
      <c r="B40" t="s">
        <v>10</v>
      </c>
      <c r="C40" cm="1">
        <f t="array" ref="C40:E40">E6:G6</f>
        <v>0</v>
      </c>
      <c r="D40">
        <v>1</v>
      </c>
      <c r="E40">
        <v>2</v>
      </c>
      <c r="J40" t="s">
        <v>10</v>
      </c>
      <c r="K40" cm="1">
        <f t="array" ref="K40:M40">O6:Q6</f>
        <v>0</v>
      </c>
      <c r="L40">
        <v>1</v>
      </c>
      <c r="M40">
        <v>2</v>
      </c>
    </row>
    <row r="41" spans="2:14" x14ac:dyDescent="0.35">
      <c r="B41" t="str" cm="1">
        <f t="array" ref="B41:B42">C7:C8</f>
        <v>low</v>
      </c>
      <c r="C41">
        <f>E7*$K7/C$44</f>
        <v>0.8416438356164383</v>
      </c>
      <c r="D41">
        <f t="shared" ref="D41:E42" si="14">F7*$K7/D$44</f>
        <v>0.18731707317073173</v>
      </c>
      <c r="E41">
        <f t="shared" si="14"/>
        <v>9.8969072164948498E-3</v>
      </c>
      <c r="J41" t="str" cm="1">
        <f t="array" ref="J41:J42">N7:N8</f>
        <v>low</v>
      </c>
      <c r="K41">
        <f>O7*$K7/K$44</f>
        <v>0.93103448275862077</v>
      </c>
      <c r="L41">
        <f t="shared" ref="L41:M42" si="15">P7*$K7/L$44</f>
        <v>0.39130434782608697</v>
      </c>
      <c r="M41">
        <f t="shared" si="15"/>
        <v>2.9702970297029715E-2</v>
      </c>
    </row>
    <row r="42" spans="2:14" x14ac:dyDescent="0.35">
      <c r="B42" t="str">
        <v>high</v>
      </c>
      <c r="C42">
        <f>E8*$K8/C$44</f>
        <v>0.15835616438356165</v>
      </c>
      <c r="D42">
        <f t="shared" si="14"/>
        <v>0.81268292682926824</v>
      </c>
      <c r="E42">
        <f t="shared" si="14"/>
        <v>0.99010309278350517</v>
      </c>
      <c r="J42" t="str">
        <v>high</v>
      </c>
      <c r="K42">
        <f>O8*$K8/K$44</f>
        <v>6.8965517241379337E-2</v>
      </c>
      <c r="L42">
        <f t="shared" si="15"/>
        <v>0.60869565217391297</v>
      </c>
      <c r="M42">
        <f t="shared" si="15"/>
        <v>0.97029702970297027</v>
      </c>
    </row>
    <row r="43" spans="2:14" x14ac:dyDescent="0.35">
      <c r="C43" s="7">
        <f>SUM(C41:C42)</f>
        <v>1</v>
      </c>
      <c r="D43" s="7">
        <f t="shared" ref="D43:E43" si="16">SUM(D41:D42)</f>
        <v>1</v>
      </c>
      <c r="E43" s="7">
        <f t="shared" si="16"/>
        <v>1</v>
      </c>
      <c r="K43" s="7">
        <f>SUM(K41:K42)</f>
        <v>1</v>
      </c>
      <c r="L43" s="7">
        <f t="shared" ref="L43:M43" si="17">SUM(L41:L42)</f>
        <v>1</v>
      </c>
      <c r="M43" s="7">
        <f t="shared" si="17"/>
        <v>1</v>
      </c>
    </row>
    <row r="44" spans="2:14" x14ac:dyDescent="0.35">
      <c r="B44" t="s">
        <v>27</v>
      </c>
      <c r="C44">
        <f>SUMPRODUCT(E7:E8,$K$7:$K$8)</f>
        <v>0.65700000000000003</v>
      </c>
      <c r="D44">
        <f t="shared" ref="D44:E44" si="18">SUMPRODUCT(F7:F8,$K$7:$K$8)</f>
        <v>0.246</v>
      </c>
      <c r="E44">
        <f t="shared" si="18"/>
        <v>9.6999999999999975E-2</v>
      </c>
      <c r="F44" s="7">
        <f>SUM(C44:E44)</f>
        <v>1</v>
      </c>
      <c r="J44" t="s">
        <v>27</v>
      </c>
      <c r="K44">
        <f>SUMPRODUCT(O7:O8,$K$7:$K$8)</f>
        <v>0.52199999999999991</v>
      </c>
      <c r="L44">
        <f t="shared" ref="L44:M44" si="19">SUMPRODUCT(P7:P8,$K$7:$K$8)</f>
        <v>0.27600000000000002</v>
      </c>
      <c r="M44">
        <f t="shared" si="19"/>
        <v>0.20199999999999999</v>
      </c>
      <c r="N44" s="7">
        <f>SUM(K44:M44)</f>
        <v>0.99999999999999989</v>
      </c>
    </row>
    <row r="53" spans="1:5" ht="21" customHeight="1" x14ac:dyDescent="0.35">
      <c r="C53" s="10" t="b">
        <f>_xll.PTreeNodeDecision(treeCalc_7!$F$2,5)</f>
        <v>1</v>
      </c>
      <c r="D53" s="11">
        <f>_xll.PTreeNodeProbability(treeCalc_7!$F$2,5)</f>
        <v>0.52199999999999991</v>
      </c>
    </row>
    <row r="54" spans="1:5" ht="21" customHeight="1" x14ac:dyDescent="0.35">
      <c r="C54" s="12">
        <v>0</v>
      </c>
      <c r="D54" s="13">
        <f>_xll.PTreeNodeValue(treeCalc_7!$F$2,5)</f>
        <v>0</v>
      </c>
    </row>
    <row r="55" spans="1:5" ht="21" customHeight="1" x14ac:dyDescent="0.35">
      <c r="B55" s="14">
        <f>$K$44</f>
        <v>0.52199999999999991</v>
      </c>
      <c r="C55" s="15" t="s">
        <v>28</v>
      </c>
    </row>
    <row r="56" spans="1:5" ht="21" customHeight="1" x14ac:dyDescent="0.35">
      <c r="B56" s="12">
        <v>0</v>
      </c>
      <c r="C56" s="16">
        <f>_xll.PTreeNodeValue(treeCalc_7!$F$2,2)</f>
        <v>0</v>
      </c>
    </row>
    <row r="57" spans="1:5" ht="21" customHeight="1" x14ac:dyDescent="0.35">
      <c r="D57" s="14">
        <f>$K$41</f>
        <v>0.93103448275862077</v>
      </c>
      <c r="E57" s="11">
        <f>_xll.PTreeNodeProbability(treeCalc_7!$F$2,7)</f>
        <v>0</v>
      </c>
    </row>
    <row r="58" spans="1:5" ht="21" customHeight="1" x14ac:dyDescent="0.35">
      <c r="D58" s="12">
        <f>$B$3*$D$7-$B$4</f>
        <v>-0.19999999999999998</v>
      </c>
      <c r="E58" s="13">
        <f>_xll.PTreeNodeValue(treeCalc_7!$F$2,7)</f>
        <v>-0.19999999999999998</v>
      </c>
    </row>
    <row r="59" spans="1:5" ht="21" customHeight="1" x14ac:dyDescent="0.35">
      <c r="C59" s="10" t="b">
        <f>_xll.PTreeNodeDecision(treeCalc_7!$F$2,6)</f>
        <v>0</v>
      </c>
      <c r="D59" s="17" t="s">
        <v>29</v>
      </c>
    </row>
    <row r="60" spans="1:5" ht="21" customHeight="1" x14ac:dyDescent="0.35">
      <c r="C60" s="12">
        <v>0</v>
      </c>
      <c r="D60" s="18">
        <f>_xll.PTreeNodeValue(treeCalc_7!$F$2,6)</f>
        <v>-0.15862068965517245</v>
      </c>
    </row>
    <row r="61" spans="1:5" ht="21" customHeight="1" x14ac:dyDescent="0.35">
      <c r="D61" s="14">
        <f>1-D57</f>
        <v>6.8965517241379226E-2</v>
      </c>
      <c r="E61" s="11">
        <f>_xll.PTreeNodeProbability(treeCalc_7!$F$2,8)</f>
        <v>0</v>
      </c>
    </row>
    <row r="62" spans="1:5" ht="21" customHeight="1" x14ac:dyDescent="0.35">
      <c r="D62" s="12">
        <f>$B$3*$D$8-$B$4</f>
        <v>0.39999999999999997</v>
      </c>
      <c r="E62" s="13">
        <f>_xll.PTreeNodeValue(treeCalc_7!$F$2,8)</f>
        <v>0.39999999999999997</v>
      </c>
    </row>
    <row r="63" spans="1:5" ht="21" customHeight="1" x14ac:dyDescent="0.35">
      <c r="A63" s="12"/>
      <c r="B63" s="17" t="s">
        <v>30</v>
      </c>
    </row>
    <row r="64" spans="1:5" ht="21" customHeight="1" x14ac:dyDescent="0.35">
      <c r="A64" s="12"/>
      <c r="B64" s="18">
        <f>_xll.PTreeNodeValue(treeCalc_7!$F$2,1)</f>
        <v>0.12280000000000002</v>
      </c>
    </row>
    <row r="65" spans="2:5" ht="21" customHeight="1" x14ac:dyDescent="0.35">
      <c r="C65" s="10" t="b">
        <f>_xll.PTreeNodeDecision(treeCalc_7!$F$2,9)</f>
        <v>0</v>
      </c>
      <c r="D65" s="11">
        <f>_xll.PTreeNodeProbability(treeCalc_7!$F$2,9)</f>
        <v>0</v>
      </c>
    </row>
    <row r="66" spans="2:5" ht="21" customHeight="1" x14ac:dyDescent="0.35">
      <c r="C66" s="12">
        <v>0</v>
      </c>
      <c r="D66" s="13">
        <f>_xll.PTreeNodeValue(treeCalc_7!$F$2,9)</f>
        <v>0</v>
      </c>
    </row>
    <row r="67" spans="2:5" ht="21" customHeight="1" x14ac:dyDescent="0.35">
      <c r="B67" s="14">
        <f>$L$44</f>
        <v>0.27600000000000002</v>
      </c>
      <c r="C67" s="15" t="s">
        <v>28</v>
      </c>
    </row>
    <row r="68" spans="2:5" ht="21" customHeight="1" x14ac:dyDescent="0.35">
      <c r="B68" s="12">
        <v>0</v>
      </c>
      <c r="C68" s="16">
        <f>_xll.PTreeNodeValue(treeCalc_7!$F$2,3)</f>
        <v>0.16521739130434782</v>
      </c>
    </row>
    <row r="69" spans="2:5" ht="21" customHeight="1" x14ac:dyDescent="0.35">
      <c r="D69" s="14">
        <f>$L$41</f>
        <v>0.39130434782608697</v>
      </c>
      <c r="E69" s="11">
        <f>_xll.PTreeNodeProbability(treeCalc_7!$F$2,11)</f>
        <v>0.10800000000000001</v>
      </c>
    </row>
    <row r="70" spans="2:5" ht="21" customHeight="1" x14ac:dyDescent="0.35">
      <c r="D70" s="12">
        <f>$B$3*$D$7-$B$4</f>
        <v>-0.19999999999999998</v>
      </c>
      <c r="E70" s="13">
        <f>_xll.PTreeNodeValue(treeCalc_7!$F$2,11)</f>
        <v>-0.19999999999999998</v>
      </c>
    </row>
    <row r="71" spans="2:5" ht="21" customHeight="1" x14ac:dyDescent="0.35">
      <c r="C71" s="10" t="b">
        <f>_xll.PTreeNodeDecision(treeCalc_7!$F$2,10)</f>
        <v>1</v>
      </c>
      <c r="D71" s="17" t="s">
        <v>29</v>
      </c>
    </row>
    <row r="72" spans="2:5" ht="21" customHeight="1" x14ac:dyDescent="0.35">
      <c r="C72" s="12">
        <v>0</v>
      </c>
      <c r="D72" s="18">
        <f>_xll.PTreeNodeValue(treeCalc_7!$F$2,10)</f>
        <v>0.16521739130434782</v>
      </c>
    </row>
    <row r="73" spans="2:5" ht="21" customHeight="1" x14ac:dyDescent="0.35">
      <c r="D73" s="14">
        <f>1-D69</f>
        <v>0.60869565217391308</v>
      </c>
      <c r="E73" s="11">
        <f>_xll.PTreeNodeProbability(treeCalc_7!$F$2,12)</f>
        <v>0.16800000000000004</v>
      </c>
    </row>
    <row r="74" spans="2:5" ht="21" customHeight="1" x14ac:dyDescent="0.35">
      <c r="D74" s="12">
        <f>$B$3*$D$8-$B$4</f>
        <v>0.39999999999999997</v>
      </c>
      <c r="E74" s="13">
        <f>_xll.PTreeNodeValue(treeCalc_7!$F$2,12)</f>
        <v>0.39999999999999997</v>
      </c>
    </row>
    <row r="75" spans="2:5" ht="21" customHeight="1" x14ac:dyDescent="0.35">
      <c r="C75" s="10" t="b">
        <f>_xll.PTreeNodeDecision(treeCalc_7!$F$2,13)</f>
        <v>0</v>
      </c>
      <c r="D75" s="11">
        <f>_xll.PTreeNodeProbability(treeCalc_7!$F$2,13)</f>
        <v>0</v>
      </c>
    </row>
    <row r="76" spans="2:5" ht="21" customHeight="1" x14ac:dyDescent="0.35">
      <c r="C76" s="12">
        <v>0</v>
      </c>
      <c r="D76" s="13">
        <f>_xll.PTreeNodeValue(treeCalc_7!$F$2,13)</f>
        <v>0</v>
      </c>
    </row>
    <row r="77" spans="2:5" ht="21" customHeight="1" x14ac:dyDescent="0.35">
      <c r="B77" s="14">
        <f>1-SUM(B55,B67)</f>
        <v>0.20200000000000007</v>
      </c>
      <c r="C77" s="15" t="s">
        <v>28</v>
      </c>
    </row>
    <row r="78" spans="2:5" ht="21" customHeight="1" x14ac:dyDescent="0.35">
      <c r="B78" s="12">
        <v>0</v>
      </c>
      <c r="C78" s="16">
        <f>_xll.PTreeNodeValue(treeCalc_7!$F$2,4)</f>
        <v>0.38217821782178213</v>
      </c>
    </row>
    <row r="79" spans="2:5" ht="21" customHeight="1" x14ac:dyDescent="0.35">
      <c r="D79" s="14">
        <f>$M$41</f>
        <v>2.9702970297029715E-2</v>
      </c>
      <c r="E79" s="11">
        <f>_xll.PTreeNodeProbability(treeCalc_7!$F$2,15)</f>
        <v>6.0000000000000045E-3</v>
      </c>
    </row>
    <row r="80" spans="2:5" ht="21" customHeight="1" x14ac:dyDescent="0.35">
      <c r="D80" s="12">
        <f>$B$3*$D$7-$B$4</f>
        <v>-0.19999999999999998</v>
      </c>
      <c r="E80" s="13">
        <f>_xll.PTreeNodeValue(treeCalc_7!$F$2,15)</f>
        <v>-0.19999999999999998</v>
      </c>
    </row>
    <row r="81" spans="2:5" ht="21" customHeight="1" x14ac:dyDescent="0.35">
      <c r="C81" s="10" t="b">
        <f>_xll.PTreeNodeDecision(treeCalc_7!$F$2,14)</f>
        <v>1</v>
      </c>
      <c r="D81" s="17" t="s">
        <v>29</v>
      </c>
    </row>
    <row r="82" spans="2:5" ht="21" customHeight="1" x14ac:dyDescent="0.35">
      <c r="C82" s="12">
        <v>0</v>
      </c>
      <c r="D82" s="18">
        <f>_xll.PTreeNodeValue(treeCalc_7!$F$2,14)</f>
        <v>0.38217821782178213</v>
      </c>
    </row>
    <row r="83" spans="2:5" ht="21" customHeight="1" x14ac:dyDescent="0.35">
      <c r="D83" s="14">
        <f>1-D79</f>
        <v>0.97029702970297027</v>
      </c>
      <c r="E83" s="11">
        <f>_xll.PTreeNodeProbability(treeCalc_7!$F$2,16)</f>
        <v>0.19600000000000006</v>
      </c>
    </row>
    <row r="84" spans="2:5" ht="21" customHeight="1" x14ac:dyDescent="0.35">
      <c r="D84" s="12">
        <f>$B$3*$D$8-$B$4</f>
        <v>0.39999999999999997</v>
      </c>
      <c r="E84" s="13">
        <f>_xll.PTreeNodeValue(treeCalc_7!$F$2,16)</f>
        <v>0.39999999999999997</v>
      </c>
    </row>
    <row r="92" spans="2:5" ht="21" customHeight="1" x14ac:dyDescent="0.35">
      <c r="C92" s="10" t="b">
        <f>_xll.PTreeNodeDecision(treeCalc_8!$F$2,3)</f>
        <v>1</v>
      </c>
      <c r="D92" s="11">
        <f>_xll.PTreeNodeProbability(treeCalc_8!$F$2,3)</f>
        <v>0.65700000000000003</v>
      </c>
    </row>
    <row r="93" spans="2:5" ht="21" customHeight="1" x14ac:dyDescent="0.35">
      <c r="C93" s="12">
        <v>0</v>
      </c>
      <c r="D93" s="13">
        <f>_xll.PTreeNodeValue(treeCalc_8!$F$2,3)</f>
        <v>0</v>
      </c>
    </row>
    <row r="94" spans="2:5" ht="21" customHeight="1" x14ac:dyDescent="0.35">
      <c r="B94" s="14">
        <f>$C$44</f>
        <v>0.65700000000000003</v>
      </c>
      <c r="C94" s="15" t="s">
        <v>28</v>
      </c>
    </row>
    <row r="95" spans="2:5" ht="21" customHeight="1" x14ac:dyDescent="0.35">
      <c r="B95" s="12">
        <v>0</v>
      </c>
      <c r="C95" s="16">
        <f>_xll.PTreeNodeValue(treeCalc_8!$F$2,2)</f>
        <v>0</v>
      </c>
    </row>
    <row r="96" spans="2:5" ht="21" customHeight="1" x14ac:dyDescent="0.35">
      <c r="D96" s="14">
        <f>$C$41</f>
        <v>0.8416438356164383</v>
      </c>
      <c r="E96" s="11">
        <f>_xll.PTreeNodeProbability(treeCalc_8!$F$2,5)</f>
        <v>0</v>
      </c>
    </row>
    <row r="97" spans="1:5" ht="21" customHeight="1" x14ac:dyDescent="0.35">
      <c r="D97" s="12">
        <f>$B$3*$D$7-$B$4</f>
        <v>-0.19999999999999998</v>
      </c>
      <c r="E97" s="13">
        <f>_xll.PTreeNodeValue(treeCalc_8!$F$2,5)</f>
        <v>-0.19999999999999998</v>
      </c>
    </row>
    <row r="98" spans="1:5" ht="21" customHeight="1" x14ac:dyDescent="0.35">
      <c r="C98" s="10" t="b">
        <f>_xll.PTreeNodeDecision(treeCalc_8!$F$2,4)</f>
        <v>0</v>
      </c>
      <c r="D98" s="17" t="s">
        <v>29</v>
      </c>
    </row>
    <row r="99" spans="1:5" ht="21" customHeight="1" x14ac:dyDescent="0.35">
      <c r="C99" s="12">
        <v>0</v>
      </c>
      <c r="D99" s="18">
        <f>_xll.PTreeNodeValue(treeCalc_8!$F$2,4)</f>
        <v>-0.10498630136986298</v>
      </c>
    </row>
    <row r="100" spans="1:5" ht="21" customHeight="1" x14ac:dyDescent="0.35">
      <c r="D100" s="14">
        <f>1-D96</f>
        <v>0.1583561643835617</v>
      </c>
      <c r="E100" s="11">
        <f>_xll.PTreeNodeProbability(treeCalc_8!$F$2,6)</f>
        <v>0</v>
      </c>
    </row>
    <row r="101" spans="1:5" ht="21" customHeight="1" x14ac:dyDescent="0.35">
      <c r="D101" s="12">
        <f>$B$3*$D$8-$B$4</f>
        <v>0.39999999999999997</v>
      </c>
      <c r="E101" s="13">
        <f>_xll.PTreeNodeValue(treeCalc_8!$F$2,6)</f>
        <v>0.39999999999999997</v>
      </c>
    </row>
    <row r="102" spans="1:5" ht="21" customHeight="1" x14ac:dyDescent="0.35">
      <c r="A102" s="12"/>
      <c r="B102" s="17" t="s">
        <v>30</v>
      </c>
    </row>
    <row r="103" spans="1:5" ht="21" customHeight="1" x14ac:dyDescent="0.35">
      <c r="A103" s="12"/>
      <c r="B103" s="18">
        <f>_xll.PTreeNodeValue(treeCalc_8!$F$2,1)</f>
        <v>0.10897599999999998</v>
      </c>
    </row>
    <row r="104" spans="1:5" ht="21" customHeight="1" x14ac:dyDescent="0.35">
      <c r="C104" s="10" t="b">
        <f>_xll.PTreeNodeDecision(treeCalc_8!$F$2,8)</f>
        <v>0</v>
      </c>
      <c r="D104" s="11">
        <f>_xll.PTreeNodeProbability(treeCalc_8!$F$2,8)</f>
        <v>0</v>
      </c>
    </row>
    <row r="105" spans="1:5" ht="21" customHeight="1" x14ac:dyDescent="0.35">
      <c r="C105" s="12">
        <v>0</v>
      </c>
      <c r="D105" s="13">
        <f>_xll.PTreeNodeValue(treeCalc_8!$F$2,8)</f>
        <v>0</v>
      </c>
    </row>
    <row r="106" spans="1:5" ht="21" customHeight="1" x14ac:dyDescent="0.35">
      <c r="B106" s="14">
        <f>$D$44</f>
        <v>0.246</v>
      </c>
      <c r="C106" s="15" t="s">
        <v>28</v>
      </c>
    </row>
    <row r="107" spans="1:5" ht="21" customHeight="1" x14ac:dyDescent="0.35">
      <c r="B107" s="12">
        <v>0</v>
      </c>
      <c r="C107" s="16">
        <f>_xll.PTreeNodeValue(treeCalc_8!$F$2,7)</f>
        <v>0.2876097560975609</v>
      </c>
    </row>
    <row r="108" spans="1:5" ht="21" customHeight="1" x14ac:dyDescent="0.35">
      <c r="D108" s="14">
        <f>$D$41</f>
        <v>0.18731707317073173</v>
      </c>
      <c r="E108" s="11">
        <f>_xll.PTreeNodeProbability(treeCalc_8!$F$2,10)</f>
        <v>4.6080000000000003E-2</v>
      </c>
    </row>
    <row r="109" spans="1:5" ht="21" customHeight="1" x14ac:dyDescent="0.35">
      <c r="D109" s="12">
        <f>$B$3*$D$7-$B$4</f>
        <v>-0.19999999999999998</v>
      </c>
      <c r="E109" s="13">
        <f>_xll.PTreeNodeValue(treeCalc_8!$F$2,10)</f>
        <v>-0.19999999999999998</v>
      </c>
    </row>
    <row r="110" spans="1:5" ht="21" customHeight="1" x14ac:dyDescent="0.35">
      <c r="C110" s="10" t="b">
        <f>_xll.PTreeNodeDecision(treeCalc_8!$F$2,9)</f>
        <v>1</v>
      </c>
      <c r="D110" s="17" t="s">
        <v>29</v>
      </c>
    </row>
    <row r="111" spans="1:5" ht="21" customHeight="1" x14ac:dyDescent="0.35">
      <c r="C111" s="12">
        <v>0</v>
      </c>
      <c r="D111" s="18">
        <f>_xll.PTreeNodeValue(treeCalc_8!$F$2,9)</f>
        <v>0.2876097560975609</v>
      </c>
    </row>
    <row r="112" spans="1:5" ht="21" customHeight="1" x14ac:dyDescent="0.35">
      <c r="D112" s="14">
        <f>1-D108</f>
        <v>0.81268292682926824</v>
      </c>
      <c r="E112" s="11">
        <f>_xll.PTreeNodeProbability(treeCalc_8!$F$2,11)</f>
        <v>0.19991999999999999</v>
      </c>
    </row>
    <row r="113" spans="1:5" ht="21" customHeight="1" x14ac:dyDescent="0.35">
      <c r="D113" s="12">
        <f>$B$3*$D$8-$B$4</f>
        <v>0.39999999999999997</v>
      </c>
      <c r="E113" s="13">
        <f>_xll.PTreeNodeValue(treeCalc_8!$F$2,11)</f>
        <v>0.39999999999999997</v>
      </c>
    </row>
    <row r="114" spans="1:5" ht="21" customHeight="1" x14ac:dyDescent="0.35">
      <c r="C114" s="10" t="b">
        <f>_xll.PTreeNodeDecision(treeCalc_8!$F$2,13)</f>
        <v>0</v>
      </c>
      <c r="D114" s="11">
        <f>_xll.PTreeNodeProbability(treeCalc_8!$F$2,13)</f>
        <v>0</v>
      </c>
    </row>
    <row r="115" spans="1:5" ht="21" customHeight="1" x14ac:dyDescent="0.35">
      <c r="C115" s="12">
        <v>0</v>
      </c>
      <c r="D115" s="13">
        <f>_xll.PTreeNodeValue(treeCalc_8!$F$2,13)</f>
        <v>0</v>
      </c>
    </row>
    <row r="116" spans="1:5" ht="21" customHeight="1" x14ac:dyDescent="0.35">
      <c r="B116" s="14">
        <f>1-SUM(B94,B106)</f>
        <v>9.6999999999999975E-2</v>
      </c>
      <c r="C116" s="15" t="s">
        <v>28</v>
      </c>
    </row>
    <row r="117" spans="1:5" ht="21" customHeight="1" x14ac:dyDescent="0.35">
      <c r="B117" s="12">
        <v>0</v>
      </c>
      <c r="C117" s="16">
        <f>_xll.PTreeNodeValue(treeCalc_8!$F$2,12)</f>
        <v>0.3940618556701031</v>
      </c>
    </row>
    <row r="118" spans="1:5" ht="21" customHeight="1" x14ac:dyDescent="0.35">
      <c r="D118" s="14">
        <f>$E$41</f>
        <v>9.8969072164948498E-3</v>
      </c>
      <c r="E118" s="11">
        <f>_xll.PTreeNodeProbability(treeCalc_8!$F$2,15)</f>
        <v>9.6000000000000013E-4</v>
      </c>
    </row>
    <row r="119" spans="1:5" ht="21" customHeight="1" x14ac:dyDescent="0.35">
      <c r="D119" s="12">
        <f>$B$3*$D$7-$B$4</f>
        <v>-0.19999999999999998</v>
      </c>
      <c r="E119" s="13">
        <f>_xll.PTreeNodeValue(treeCalc_8!$F$2,15)</f>
        <v>-0.19999999999999998</v>
      </c>
    </row>
    <row r="120" spans="1:5" ht="21" customHeight="1" x14ac:dyDescent="0.35">
      <c r="C120" s="10" t="b">
        <f>_xll.PTreeNodeDecision(treeCalc_8!$F$2,14)</f>
        <v>1</v>
      </c>
      <c r="D120" s="17" t="s">
        <v>29</v>
      </c>
    </row>
    <row r="121" spans="1:5" ht="21" customHeight="1" x14ac:dyDescent="0.35">
      <c r="C121" s="12">
        <v>0</v>
      </c>
      <c r="D121" s="18">
        <f>_xll.PTreeNodeValue(treeCalc_8!$F$2,14)</f>
        <v>0.3940618556701031</v>
      </c>
    </row>
    <row r="122" spans="1:5" ht="21" customHeight="1" x14ac:dyDescent="0.35">
      <c r="D122" s="14">
        <f>1-D118</f>
        <v>0.99010309278350517</v>
      </c>
      <c r="E122" s="11">
        <f>_xll.PTreeNodeProbability(treeCalc_8!$F$2,16)</f>
        <v>9.6039999999999973E-2</v>
      </c>
    </row>
    <row r="123" spans="1:5" ht="21" customHeight="1" x14ac:dyDescent="0.35">
      <c r="D123" s="12">
        <f>$B$3*$D$8-$B$4</f>
        <v>0.39999999999999997</v>
      </c>
      <c r="E123" s="13">
        <f>_xll.PTreeNodeValue(treeCalc_8!$F$2,16)</f>
        <v>0.39999999999999997</v>
      </c>
    </row>
    <row r="126" spans="1:5" x14ac:dyDescent="0.35">
      <c r="B126" t="s">
        <v>31</v>
      </c>
      <c r="C126" t="s">
        <v>5</v>
      </c>
    </row>
    <row r="127" spans="1:5" x14ac:dyDescent="0.35">
      <c r="A127" t="s">
        <v>32</v>
      </c>
      <c r="B127">
        <f>B64</f>
        <v>0.12280000000000002</v>
      </c>
      <c r="C127">
        <f>B103</f>
        <v>0.10897599999999998</v>
      </c>
    </row>
    <row r="128" spans="1:5" x14ac:dyDescent="0.35">
      <c r="A128">
        <v>0</v>
      </c>
      <c r="B128">
        <f t="dataTable" ref="B128:C228" dt2D="0" dtr="0" r1="K8"/>
        <v>0</v>
      </c>
      <c r="C128">
        <v>0</v>
      </c>
    </row>
    <row r="129" spans="1:3" x14ac:dyDescent="0.35">
      <c r="A129">
        <v>0.01</v>
      </c>
      <c r="B129">
        <v>0</v>
      </c>
      <c r="C129">
        <v>6.4360000000000209E-4</v>
      </c>
    </row>
    <row r="130" spans="1:3" x14ac:dyDescent="0.35">
      <c r="A130">
        <v>0.02</v>
      </c>
      <c r="B130">
        <v>1.9600000000000043E-3</v>
      </c>
      <c r="C130">
        <v>1.6071999999999961E-3</v>
      </c>
    </row>
    <row r="131" spans="1:3" x14ac:dyDescent="0.35">
      <c r="A131">
        <v>0.03</v>
      </c>
      <c r="B131">
        <v>3.9399999999999939E-3</v>
      </c>
      <c r="C131">
        <v>2.5708000000000193E-3</v>
      </c>
    </row>
    <row r="132" spans="1:3" x14ac:dyDescent="0.35">
      <c r="A132">
        <v>0.04</v>
      </c>
      <c r="B132">
        <v>5.9200000000000008E-3</v>
      </c>
      <c r="C132">
        <v>3.5344000000000113E-3</v>
      </c>
    </row>
    <row r="133" spans="1:3" x14ac:dyDescent="0.35">
      <c r="A133">
        <v>0.05</v>
      </c>
      <c r="B133">
        <v>7.9000000000000042E-3</v>
      </c>
      <c r="C133">
        <v>4.4980000000000029E-3</v>
      </c>
    </row>
    <row r="134" spans="1:3" x14ac:dyDescent="0.35">
      <c r="A134">
        <v>0.06</v>
      </c>
      <c r="B134">
        <v>9.8800000000000415E-3</v>
      </c>
      <c r="C134">
        <v>5.4615999999999909E-3</v>
      </c>
    </row>
    <row r="135" spans="1:3" x14ac:dyDescent="0.35">
      <c r="A135">
        <v>7.0000000000000007E-2</v>
      </c>
      <c r="B135">
        <v>1.1860000000000023E-2</v>
      </c>
      <c r="C135">
        <v>6.4252000000000215E-3</v>
      </c>
    </row>
    <row r="136" spans="1:3" x14ac:dyDescent="0.35">
      <c r="A136">
        <v>0.08</v>
      </c>
      <c r="B136">
        <v>1.3839999999999998E-2</v>
      </c>
      <c r="C136">
        <v>9.2512000000000115E-3</v>
      </c>
    </row>
    <row r="137" spans="1:3" x14ac:dyDescent="0.35">
      <c r="A137">
        <v>0.09</v>
      </c>
      <c r="B137">
        <v>1.5820000000000004E-2</v>
      </c>
      <c r="C137">
        <v>1.2367599999999998E-2</v>
      </c>
    </row>
    <row r="138" spans="1:3" x14ac:dyDescent="0.35">
      <c r="A138">
        <v>0.1</v>
      </c>
      <c r="B138">
        <v>1.7800000000000014E-2</v>
      </c>
      <c r="C138">
        <v>1.5484000000000022E-2</v>
      </c>
    </row>
    <row r="139" spans="1:3" x14ac:dyDescent="0.35">
      <c r="A139">
        <v>0.11</v>
      </c>
      <c r="B139">
        <v>1.9779999999999989E-2</v>
      </c>
      <c r="C139">
        <v>1.8600399999999975E-2</v>
      </c>
    </row>
    <row r="140" spans="1:3" x14ac:dyDescent="0.35">
      <c r="A140">
        <v>0.12</v>
      </c>
      <c r="B140">
        <v>2.1759999999999995E-2</v>
      </c>
      <c r="C140">
        <v>2.1716800000000005E-2</v>
      </c>
    </row>
    <row r="141" spans="1:3" x14ac:dyDescent="0.35">
      <c r="A141">
        <v>0.13</v>
      </c>
      <c r="B141">
        <v>2.3740000000000001E-2</v>
      </c>
      <c r="C141">
        <v>2.48332E-2</v>
      </c>
    </row>
    <row r="142" spans="1:3" x14ac:dyDescent="0.35">
      <c r="A142">
        <v>0.14000000000000001</v>
      </c>
      <c r="B142">
        <v>2.572000000000001E-2</v>
      </c>
      <c r="C142">
        <v>2.7949600000000029E-2</v>
      </c>
    </row>
    <row r="143" spans="1:3" x14ac:dyDescent="0.35">
      <c r="A143">
        <v>0.15</v>
      </c>
      <c r="B143">
        <v>2.7700000000000016E-2</v>
      </c>
      <c r="C143">
        <v>3.1066000000000003E-2</v>
      </c>
    </row>
    <row r="144" spans="1:3" x14ac:dyDescent="0.35">
      <c r="A144">
        <v>0.16</v>
      </c>
      <c r="B144">
        <v>2.9680000000000071E-2</v>
      </c>
      <c r="C144">
        <v>3.4182400000000002E-2</v>
      </c>
    </row>
    <row r="145" spans="1:3" x14ac:dyDescent="0.35">
      <c r="A145">
        <v>0.17</v>
      </c>
      <c r="B145">
        <v>3.1660000000000042E-2</v>
      </c>
      <c r="C145">
        <v>3.7298800000000035E-2</v>
      </c>
    </row>
    <row r="146" spans="1:3" x14ac:dyDescent="0.35">
      <c r="A146">
        <v>0.18</v>
      </c>
      <c r="B146">
        <v>3.4359999999999981E-2</v>
      </c>
      <c r="C146">
        <v>4.0415199999999971E-2</v>
      </c>
    </row>
    <row r="147" spans="1:3" x14ac:dyDescent="0.35">
      <c r="A147">
        <v>0.19</v>
      </c>
      <c r="B147">
        <v>3.837999999999997E-2</v>
      </c>
      <c r="C147">
        <v>4.3531599999999962E-2</v>
      </c>
    </row>
    <row r="148" spans="1:3" x14ac:dyDescent="0.35">
      <c r="A148">
        <v>0.2</v>
      </c>
      <c r="B148">
        <v>4.2399999999999986E-2</v>
      </c>
      <c r="C148">
        <v>4.6647999999999981E-2</v>
      </c>
    </row>
    <row r="149" spans="1:3" x14ac:dyDescent="0.35">
      <c r="A149">
        <v>0.21</v>
      </c>
      <c r="B149">
        <v>4.6419999999999989E-2</v>
      </c>
      <c r="C149">
        <v>4.9764399999999979E-2</v>
      </c>
    </row>
    <row r="150" spans="1:3" x14ac:dyDescent="0.35">
      <c r="A150">
        <v>0.22</v>
      </c>
      <c r="B150">
        <v>5.0439999999999957E-2</v>
      </c>
      <c r="C150">
        <v>5.2880799999999978E-2</v>
      </c>
    </row>
    <row r="151" spans="1:3" x14ac:dyDescent="0.35">
      <c r="A151">
        <v>0.23</v>
      </c>
      <c r="B151">
        <v>5.4460000000000008E-2</v>
      </c>
      <c r="C151">
        <v>5.5997199999999976E-2</v>
      </c>
    </row>
    <row r="152" spans="1:3" x14ac:dyDescent="0.35">
      <c r="A152">
        <v>0.24</v>
      </c>
      <c r="B152">
        <v>5.8480000000000053E-2</v>
      </c>
      <c r="C152">
        <v>5.9113599999999981E-2</v>
      </c>
    </row>
    <row r="153" spans="1:3" x14ac:dyDescent="0.35">
      <c r="A153">
        <v>0.25</v>
      </c>
      <c r="B153">
        <v>6.2500000000000014E-2</v>
      </c>
      <c r="C153">
        <v>6.222999999999998E-2</v>
      </c>
    </row>
    <row r="154" spans="1:3" x14ac:dyDescent="0.35">
      <c r="A154">
        <v>0.26</v>
      </c>
      <c r="B154">
        <v>6.6519999999999996E-2</v>
      </c>
      <c r="C154">
        <v>6.5346400000000054E-2</v>
      </c>
    </row>
    <row r="155" spans="1:3" x14ac:dyDescent="0.35">
      <c r="A155">
        <v>0.27</v>
      </c>
      <c r="B155">
        <v>7.0540000000000019E-2</v>
      </c>
      <c r="C155">
        <v>6.8462800000000004E-2</v>
      </c>
    </row>
    <row r="156" spans="1:3" x14ac:dyDescent="0.35">
      <c r="A156">
        <v>0.28000000000000003</v>
      </c>
      <c r="B156">
        <v>7.4560000000000029E-2</v>
      </c>
      <c r="C156">
        <v>7.1579200000000037E-2</v>
      </c>
    </row>
    <row r="157" spans="1:3" x14ac:dyDescent="0.35">
      <c r="A157">
        <v>0.28999999999999998</v>
      </c>
      <c r="B157">
        <v>7.8579999999999997E-2</v>
      </c>
      <c r="C157">
        <v>7.4695600000000056E-2</v>
      </c>
    </row>
    <row r="158" spans="1:3" x14ac:dyDescent="0.35">
      <c r="A158">
        <v>0.3</v>
      </c>
      <c r="B158">
        <v>8.2599999999999993E-2</v>
      </c>
      <c r="C158">
        <v>7.7812000000000006E-2</v>
      </c>
    </row>
    <row r="159" spans="1:3" x14ac:dyDescent="0.35">
      <c r="A159">
        <v>0.31</v>
      </c>
      <c r="B159">
        <v>8.6619999999999989E-2</v>
      </c>
      <c r="C159">
        <v>8.0928400000000053E-2</v>
      </c>
    </row>
    <row r="160" spans="1:3" x14ac:dyDescent="0.35">
      <c r="A160">
        <v>0.32</v>
      </c>
      <c r="B160">
        <v>9.0639999999999984E-2</v>
      </c>
      <c r="C160">
        <v>8.4044800000000031E-2</v>
      </c>
    </row>
    <row r="161" spans="1:3" x14ac:dyDescent="0.35">
      <c r="A161">
        <v>0.33</v>
      </c>
      <c r="B161">
        <v>9.4660000000000077E-2</v>
      </c>
      <c r="C161">
        <v>8.7161200000000022E-2</v>
      </c>
    </row>
    <row r="162" spans="1:3" x14ac:dyDescent="0.35">
      <c r="A162">
        <v>0.34</v>
      </c>
      <c r="B162">
        <v>9.8680000000000073E-2</v>
      </c>
      <c r="C162">
        <v>9.0277600000000041E-2</v>
      </c>
    </row>
    <row r="163" spans="1:3" x14ac:dyDescent="0.35">
      <c r="A163">
        <v>0.35</v>
      </c>
      <c r="B163">
        <v>0.1027</v>
      </c>
      <c r="C163">
        <v>9.3393999999999977E-2</v>
      </c>
    </row>
    <row r="164" spans="1:3" x14ac:dyDescent="0.35">
      <c r="A164">
        <v>0.36</v>
      </c>
      <c r="B164">
        <v>0.10672000000000001</v>
      </c>
      <c r="C164">
        <v>9.6510400000000024E-2</v>
      </c>
    </row>
    <row r="165" spans="1:3" x14ac:dyDescent="0.35">
      <c r="A165">
        <v>0.37</v>
      </c>
      <c r="B165">
        <v>0.11073999999999998</v>
      </c>
      <c r="C165">
        <v>9.962679999999996E-2</v>
      </c>
    </row>
    <row r="166" spans="1:3" x14ac:dyDescent="0.35">
      <c r="A166">
        <v>0.38</v>
      </c>
      <c r="B166">
        <v>0.11475999999999999</v>
      </c>
      <c r="C166">
        <v>0.10274320000000001</v>
      </c>
    </row>
    <row r="167" spans="1:3" x14ac:dyDescent="0.35">
      <c r="A167">
        <v>0.39</v>
      </c>
      <c r="B167">
        <v>0.11878000000000002</v>
      </c>
      <c r="C167">
        <v>0.10585959999999994</v>
      </c>
    </row>
    <row r="168" spans="1:3" x14ac:dyDescent="0.35">
      <c r="A168">
        <v>0.4</v>
      </c>
      <c r="B168">
        <v>0.12280000000000002</v>
      </c>
      <c r="C168">
        <v>0.10897599999999998</v>
      </c>
    </row>
    <row r="169" spans="1:3" x14ac:dyDescent="0.35">
      <c r="A169">
        <v>0.41</v>
      </c>
      <c r="B169">
        <v>0.12681999999999996</v>
      </c>
      <c r="C169">
        <v>0.11209239999999999</v>
      </c>
    </row>
    <row r="170" spans="1:3" x14ac:dyDescent="0.35">
      <c r="A170">
        <v>0.42</v>
      </c>
      <c r="B170">
        <v>0.13083999999999998</v>
      </c>
      <c r="C170">
        <v>0.1152088</v>
      </c>
    </row>
    <row r="171" spans="1:3" x14ac:dyDescent="0.35">
      <c r="A171">
        <v>0.43</v>
      </c>
      <c r="B171">
        <v>0.13486000000000001</v>
      </c>
      <c r="C171">
        <v>0.11832519999999996</v>
      </c>
    </row>
    <row r="172" spans="1:3" x14ac:dyDescent="0.35">
      <c r="A172">
        <v>0.44</v>
      </c>
      <c r="B172">
        <v>0.13888</v>
      </c>
      <c r="C172">
        <v>0.12144160000000001</v>
      </c>
    </row>
    <row r="173" spans="1:3" x14ac:dyDescent="0.35">
      <c r="A173">
        <v>0.45</v>
      </c>
      <c r="B173">
        <v>0.14289999999999997</v>
      </c>
      <c r="C173">
        <v>0.124558</v>
      </c>
    </row>
    <row r="174" spans="1:3" x14ac:dyDescent="0.35">
      <c r="A174">
        <v>0.46</v>
      </c>
      <c r="B174">
        <v>0.14691999999999997</v>
      </c>
      <c r="C174">
        <v>0.12767439999999999</v>
      </c>
    </row>
    <row r="175" spans="1:3" x14ac:dyDescent="0.35">
      <c r="A175">
        <v>0.47</v>
      </c>
      <c r="B175">
        <v>0.15093999999999996</v>
      </c>
      <c r="C175">
        <v>0.13079080000000001</v>
      </c>
    </row>
    <row r="176" spans="1:3" x14ac:dyDescent="0.35">
      <c r="A176">
        <v>0.48</v>
      </c>
      <c r="B176">
        <v>0.15495999999999999</v>
      </c>
      <c r="C176">
        <v>0.1339072</v>
      </c>
    </row>
    <row r="177" spans="1:3" x14ac:dyDescent="0.35">
      <c r="A177">
        <v>0.49</v>
      </c>
      <c r="B177">
        <v>0.15898000000000001</v>
      </c>
      <c r="C177">
        <v>0.13702360000000002</v>
      </c>
    </row>
    <row r="178" spans="1:3" x14ac:dyDescent="0.35">
      <c r="A178">
        <v>0.5</v>
      </c>
      <c r="B178">
        <v>0.16299999999999998</v>
      </c>
      <c r="C178">
        <v>0.14013999999999999</v>
      </c>
    </row>
    <row r="179" spans="1:3" x14ac:dyDescent="0.35">
      <c r="A179">
        <v>0.51</v>
      </c>
      <c r="B179">
        <v>0.16701999999999997</v>
      </c>
      <c r="C179">
        <v>0.14325639999999995</v>
      </c>
    </row>
    <row r="180" spans="1:3" x14ac:dyDescent="0.35">
      <c r="A180">
        <v>0.52</v>
      </c>
      <c r="B180">
        <v>0.17104</v>
      </c>
      <c r="C180">
        <v>0.14637279999999997</v>
      </c>
    </row>
    <row r="181" spans="1:3" x14ac:dyDescent="0.35">
      <c r="A181">
        <v>0.53</v>
      </c>
      <c r="B181">
        <v>0.17506000000000002</v>
      </c>
      <c r="C181">
        <v>0.14948919999999999</v>
      </c>
    </row>
    <row r="182" spans="1:3" x14ac:dyDescent="0.35">
      <c r="A182">
        <v>0.54</v>
      </c>
      <c r="B182">
        <v>0.17908000000000002</v>
      </c>
      <c r="C182">
        <v>0.15260560000000001</v>
      </c>
    </row>
    <row r="183" spans="1:3" x14ac:dyDescent="0.35">
      <c r="A183">
        <v>0.55000000000000004</v>
      </c>
      <c r="B183">
        <v>0.18309999999999998</v>
      </c>
      <c r="C183">
        <v>0.155722</v>
      </c>
    </row>
    <row r="184" spans="1:3" x14ac:dyDescent="0.35">
      <c r="A184">
        <v>0.56000000000000005</v>
      </c>
      <c r="B184">
        <v>0.18712000000000001</v>
      </c>
      <c r="C184">
        <v>0.15883840000000007</v>
      </c>
    </row>
    <row r="185" spans="1:3" x14ac:dyDescent="0.35">
      <c r="A185">
        <v>0.56999999999999995</v>
      </c>
      <c r="B185">
        <v>0.19113999999999998</v>
      </c>
      <c r="C185">
        <v>0.16195479999999998</v>
      </c>
    </row>
    <row r="186" spans="1:3" x14ac:dyDescent="0.35">
      <c r="A186">
        <v>0.57999999999999996</v>
      </c>
      <c r="B186">
        <v>0.19515999999999994</v>
      </c>
      <c r="C186">
        <v>0.16507119999999995</v>
      </c>
    </row>
    <row r="187" spans="1:3" x14ac:dyDescent="0.35">
      <c r="A187">
        <v>0.59</v>
      </c>
      <c r="B187">
        <v>0.19918000000000002</v>
      </c>
      <c r="C187">
        <v>0.16818759999999996</v>
      </c>
    </row>
    <row r="188" spans="1:3" x14ac:dyDescent="0.35">
      <c r="A188">
        <v>0.6</v>
      </c>
      <c r="B188">
        <v>0.20319999999999996</v>
      </c>
      <c r="C188">
        <v>0.17130399999999996</v>
      </c>
    </row>
    <row r="189" spans="1:3" x14ac:dyDescent="0.35">
      <c r="A189">
        <v>0.61</v>
      </c>
      <c r="B189">
        <v>0.20721999999999996</v>
      </c>
      <c r="C189">
        <v>0.17442039999999995</v>
      </c>
    </row>
    <row r="190" spans="1:3" x14ac:dyDescent="0.35">
      <c r="A190">
        <v>0.62</v>
      </c>
      <c r="B190">
        <v>0.21124000000000001</v>
      </c>
      <c r="C190">
        <v>0.17753679999999999</v>
      </c>
    </row>
    <row r="191" spans="1:3" x14ac:dyDescent="0.35">
      <c r="A191">
        <v>0.63</v>
      </c>
      <c r="B191">
        <v>0.21525999999999995</v>
      </c>
      <c r="C191">
        <v>0.18065320000000001</v>
      </c>
    </row>
    <row r="192" spans="1:3" x14ac:dyDescent="0.35">
      <c r="A192">
        <v>0.64</v>
      </c>
      <c r="B192">
        <v>0.21928</v>
      </c>
      <c r="C192">
        <v>0.184</v>
      </c>
    </row>
    <row r="193" spans="1:3" x14ac:dyDescent="0.35">
      <c r="A193">
        <v>0.65</v>
      </c>
      <c r="B193">
        <v>0.2233</v>
      </c>
      <c r="C193">
        <v>0.19</v>
      </c>
    </row>
    <row r="194" spans="1:3" x14ac:dyDescent="0.35">
      <c r="A194">
        <v>0.66</v>
      </c>
      <c r="B194">
        <v>0.22731999999999997</v>
      </c>
      <c r="C194">
        <v>0.19600000000000001</v>
      </c>
    </row>
    <row r="195" spans="1:3" x14ac:dyDescent="0.35">
      <c r="A195">
        <v>0.67</v>
      </c>
      <c r="B195">
        <v>0.23134000000000005</v>
      </c>
      <c r="C195">
        <v>0.20200000000000004</v>
      </c>
    </row>
    <row r="196" spans="1:3" x14ac:dyDescent="0.35">
      <c r="A196">
        <v>0.68</v>
      </c>
      <c r="B196">
        <v>0.23535999999999996</v>
      </c>
      <c r="C196">
        <v>0.20800000000000002</v>
      </c>
    </row>
    <row r="197" spans="1:3" x14ac:dyDescent="0.35">
      <c r="A197">
        <v>0.69</v>
      </c>
      <c r="B197">
        <v>0.23937999999999998</v>
      </c>
      <c r="C197">
        <v>0.21399999999999994</v>
      </c>
    </row>
    <row r="198" spans="1:3" x14ac:dyDescent="0.35">
      <c r="A198">
        <v>0.7</v>
      </c>
      <c r="B198">
        <v>0.24339999999999998</v>
      </c>
      <c r="C198">
        <v>0.21999999999999992</v>
      </c>
    </row>
    <row r="199" spans="1:3" x14ac:dyDescent="0.35">
      <c r="A199">
        <v>0.71</v>
      </c>
      <c r="B199">
        <v>0.24741999999999992</v>
      </c>
      <c r="C199">
        <v>0.22599999999999998</v>
      </c>
    </row>
    <row r="200" spans="1:3" x14ac:dyDescent="0.35">
      <c r="A200">
        <v>0.72</v>
      </c>
      <c r="B200">
        <v>0.25144</v>
      </c>
      <c r="C200">
        <v>0.23199999999999998</v>
      </c>
    </row>
    <row r="201" spans="1:3" x14ac:dyDescent="0.35">
      <c r="A201">
        <v>0.73</v>
      </c>
      <c r="B201">
        <v>0.25545999999999996</v>
      </c>
      <c r="C201">
        <v>0.23799999999999999</v>
      </c>
    </row>
    <row r="202" spans="1:3" x14ac:dyDescent="0.35">
      <c r="A202">
        <v>0.74</v>
      </c>
      <c r="B202">
        <v>0.25947999999999993</v>
      </c>
      <c r="C202">
        <v>0.24399999999999999</v>
      </c>
    </row>
    <row r="203" spans="1:3" x14ac:dyDescent="0.35">
      <c r="A203">
        <v>0.75</v>
      </c>
      <c r="B203">
        <v>0.26349999999999996</v>
      </c>
      <c r="C203">
        <v>0.24999999999999997</v>
      </c>
    </row>
    <row r="204" spans="1:3" x14ac:dyDescent="0.35">
      <c r="A204">
        <v>0.76</v>
      </c>
      <c r="B204">
        <v>0.26751999999999998</v>
      </c>
      <c r="C204">
        <v>0.25599999999999995</v>
      </c>
    </row>
    <row r="205" spans="1:3" x14ac:dyDescent="0.35">
      <c r="A205">
        <v>0.77</v>
      </c>
      <c r="B205">
        <v>0.27154</v>
      </c>
      <c r="C205">
        <v>0.26200000000000001</v>
      </c>
    </row>
    <row r="206" spans="1:3" x14ac:dyDescent="0.35">
      <c r="A206">
        <v>0.78</v>
      </c>
      <c r="B206">
        <v>0.27556000000000003</v>
      </c>
      <c r="C206">
        <v>0.26800000000000002</v>
      </c>
    </row>
    <row r="207" spans="1:3" x14ac:dyDescent="0.35">
      <c r="A207">
        <v>0.79</v>
      </c>
      <c r="B207">
        <v>0.27958</v>
      </c>
      <c r="C207">
        <v>0.27399999999999997</v>
      </c>
    </row>
    <row r="208" spans="1:3" x14ac:dyDescent="0.35">
      <c r="A208">
        <v>0.8</v>
      </c>
      <c r="B208">
        <v>0.28359999999999996</v>
      </c>
      <c r="C208">
        <v>0.28000000000000003</v>
      </c>
    </row>
    <row r="209" spans="1:3" x14ac:dyDescent="0.35">
      <c r="A209">
        <v>0.81</v>
      </c>
      <c r="B209">
        <v>0.28761999999999999</v>
      </c>
      <c r="C209">
        <v>0.28600000000000003</v>
      </c>
    </row>
    <row r="210" spans="1:3" x14ac:dyDescent="0.35">
      <c r="A210">
        <v>0.82</v>
      </c>
      <c r="B210">
        <v>0.29199999999999993</v>
      </c>
      <c r="C210">
        <v>0.29199999999999998</v>
      </c>
    </row>
    <row r="211" spans="1:3" x14ac:dyDescent="0.35">
      <c r="A211">
        <v>0.83</v>
      </c>
      <c r="B211">
        <v>0.29799999999999993</v>
      </c>
      <c r="C211">
        <v>0.29799999999999993</v>
      </c>
    </row>
    <row r="212" spans="1:3" x14ac:dyDescent="0.35">
      <c r="A212">
        <v>0.84</v>
      </c>
      <c r="B212">
        <v>0.30399999999999994</v>
      </c>
      <c r="C212">
        <v>0.30399999999999999</v>
      </c>
    </row>
    <row r="213" spans="1:3" x14ac:dyDescent="0.35">
      <c r="A213">
        <v>0.85</v>
      </c>
      <c r="B213">
        <v>0.31</v>
      </c>
      <c r="C213">
        <v>0.30999999999999994</v>
      </c>
    </row>
    <row r="214" spans="1:3" x14ac:dyDescent="0.35">
      <c r="A214">
        <v>0.86</v>
      </c>
      <c r="B214">
        <v>0.31599999999999995</v>
      </c>
      <c r="C214">
        <v>0.31599999999999995</v>
      </c>
    </row>
    <row r="215" spans="1:3" x14ac:dyDescent="0.35">
      <c r="A215">
        <v>0.87</v>
      </c>
      <c r="B215">
        <v>0.32199999999999995</v>
      </c>
      <c r="C215">
        <v>0.32199999999999995</v>
      </c>
    </row>
    <row r="216" spans="1:3" x14ac:dyDescent="0.35">
      <c r="A216">
        <v>0.88</v>
      </c>
      <c r="B216">
        <v>0.32800000000000007</v>
      </c>
      <c r="C216">
        <v>0.32799999999999996</v>
      </c>
    </row>
    <row r="217" spans="1:3" x14ac:dyDescent="0.35">
      <c r="A217">
        <v>0.89</v>
      </c>
      <c r="B217">
        <v>0.33399999999999996</v>
      </c>
      <c r="C217">
        <v>0.33399999999999996</v>
      </c>
    </row>
    <row r="218" spans="1:3" x14ac:dyDescent="0.35">
      <c r="A218">
        <v>0.9</v>
      </c>
      <c r="B218">
        <v>0.34</v>
      </c>
      <c r="C218">
        <v>0.33999999999999997</v>
      </c>
    </row>
    <row r="219" spans="1:3" x14ac:dyDescent="0.35">
      <c r="A219">
        <v>0.91</v>
      </c>
      <c r="B219">
        <v>0.34600000000000003</v>
      </c>
      <c r="C219">
        <v>0.34599999999999997</v>
      </c>
    </row>
    <row r="220" spans="1:3" x14ac:dyDescent="0.35">
      <c r="A220">
        <v>0.92</v>
      </c>
      <c r="B220">
        <v>0.35199999999999998</v>
      </c>
      <c r="C220">
        <v>0.35199999999999998</v>
      </c>
    </row>
    <row r="221" spans="1:3" x14ac:dyDescent="0.35">
      <c r="A221">
        <v>0.93</v>
      </c>
      <c r="B221">
        <v>0.35800000000000004</v>
      </c>
      <c r="C221">
        <v>0.35799999999999998</v>
      </c>
    </row>
    <row r="222" spans="1:3" x14ac:dyDescent="0.35">
      <c r="A222">
        <v>0.94</v>
      </c>
      <c r="B222">
        <v>0.36399999999999999</v>
      </c>
      <c r="C222">
        <v>0.36399999999999988</v>
      </c>
    </row>
    <row r="223" spans="1:3" x14ac:dyDescent="0.35">
      <c r="A223">
        <v>0.95</v>
      </c>
      <c r="B223">
        <v>0.36999999999999994</v>
      </c>
      <c r="C223">
        <v>0.36999999999999994</v>
      </c>
    </row>
    <row r="224" spans="1:3" x14ac:dyDescent="0.35">
      <c r="A224">
        <v>0.96</v>
      </c>
      <c r="B224">
        <v>0.37599999999999989</v>
      </c>
      <c r="C224">
        <v>0.37599999999999995</v>
      </c>
    </row>
    <row r="225" spans="1:3" x14ac:dyDescent="0.35">
      <c r="A225">
        <v>0.97</v>
      </c>
      <c r="B225">
        <v>0.38199999999999995</v>
      </c>
      <c r="C225">
        <v>0.38199999999999995</v>
      </c>
    </row>
    <row r="226" spans="1:3" x14ac:dyDescent="0.35">
      <c r="A226">
        <v>0.98</v>
      </c>
      <c r="B226">
        <v>0.3879999999999999</v>
      </c>
      <c r="C226">
        <v>0.38799999999999996</v>
      </c>
    </row>
    <row r="227" spans="1:3" x14ac:dyDescent="0.35">
      <c r="A227">
        <v>0.99</v>
      </c>
      <c r="B227">
        <v>0.39399999999999996</v>
      </c>
      <c r="C227">
        <v>0.39399999999999996</v>
      </c>
    </row>
    <row r="228" spans="1:3" x14ac:dyDescent="0.35">
      <c r="A228">
        <v>1</v>
      </c>
      <c r="B228">
        <v>0.4</v>
      </c>
      <c r="C228">
        <v>0.39999999999999991</v>
      </c>
    </row>
  </sheetData>
  <conditionalFormatting sqref="B128:C128">
    <cfRule type="top10" dxfId="100" priority="101" rank="1"/>
  </conditionalFormatting>
  <conditionalFormatting sqref="B129:C129">
    <cfRule type="top10" dxfId="99" priority="100" rank="1"/>
  </conditionalFormatting>
  <conditionalFormatting sqref="B130:C130">
    <cfRule type="top10" dxfId="98" priority="99" rank="1"/>
  </conditionalFormatting>
  <conditionalFormatting sqref="B131:C131">
    <cfRule type="top10" dxfId="97" priority="98" rank="1"/>
  </conditionalFormatting>
  <conditionalFormatting sqref="B132:C132">
    <cfRule type="top10" dxfId="96" priority="97" rank="1"/>
  </conditionalFormatting>
  <conditionalFormatting sqref="B133:C133">
    <cfRule type="top10" dxfId="95" priority="96" rank="1"/>
  </conditionalFormatting>
  <conditionalFormatting sqref="B134:C134">
    <cfRule type="top10" dxfId="94" priority="95" rank="1"/>
  </conditionalFormatting>
  <conditionalFormatting sqref="B135:C135">
    <cfRule type="top10" dxfId="93" priority="94" rank="1"/>
  </conditionalFormatting>
  <conditionalFormatting sqref="B136:C136">
    <cfRule type="top10" dxfId="92" priority="93" rank="1"/>
  </conditionalFormatting>
  <conditionalFormatting sqref="B137:C137">
    <cfRule type="top10" dxfId="91" priority="92" rank="1"/>
  </conditionalFormatting>
  <conditionalFormatting sqref="B138:C138">
    <cfRule type="top10" dxfId="90" priority="91" rank="1"/>
  </conditionalFormatting>
  <conditionalFormatting sqref="B139:C139">
    <cfRule type="top10" dxfId="89" priority="90" rank="1"/>
  </conditionalFormatting>
  <conditionalFormatting sqref="B140:C140">
    <cfRule type="top10" dxfId="88" priority="89" rank="1"/>
  </conditionalFormatting>
  <conditionalFormatting sqref="B141:C141">
    <cfRule type="top10" dxfId="87" priority="88" rank="1"/>
  </conditionalFormatting>
  <conditionalFormatting sqref="B142:C142">
    <cfRule type="top10" dxfId="86" priority="87" rank="1"/>
  </conditionalFormatting>
  <conditionalFormatting sqref="B143:C143">
    <cfRule type="top10" dxfId="85" priority="86" rank="1"/>
  </conditionalFormatting>
  <conditionalFormatting sqref="B144:C144">
    <cfRule type="top10" dxfId="84" priority="85" rank="1"/>
  </conditionalFormatting>
  <conditionalFormatting sqref="B145:C145">
    <cfRule type="top10" dxfId="83" priority="84" rank="1"/>
  </conditionalFormatting>
  <conditionalFormatting sqref="B146:C146">
    <cfRule type="top10" dxfId="82" priority="83" rank="1"/>
  </conditionalFormatting>
  <conditionalFormatting sqref="B147:C147">
    <cfRule type="top10" dxfId="81" priority="82" rank="1"/>
  </conditionalFormatting>
  <conditionalFormatting sqref="B148:C148">
    <cfRule type="top10" dxfId="80" priority="81" rank="1"/>
  </conditionalFormatting>
  <conditionalFormatting sqref="B149:C149">
    <cfRule type="top10" dxfId="79" priority="80" rank="1"/>
  </conditionalFormatting>
  <conditionalFormatting sqref="B150:C150">
    <cfRule type="top10" dxfId="78" priority="79" rank="1"/>
  </conditionalFormatting>
  <conditionalFormatting sqref="B151:C151">
    <cfRule type="top10" dxfId="77" priority="78" rank="1"/>
  </conditionalFormatting>
  <conditionalFormatting sqref="B152:C152">
    <cfRule type="top10" dxfId="76" priority="77" rank="1"/>
  </conditionalFormatting>
  <conditionalFormatting sqref="B153:C153">
    <cfRule type="top10" dxfId="75" priority="76" rank="1"/>
  </conditionalFormatting>
  <conditionalFormatting sqref="B154:C154">
    <cfRule type="top10" dxfId="74" priority="75" rank="1"/>
  </conditionalFormatting>
  <conditionalFormatting sqref="B155:C155">
    <cfRule type="top10" dxfId="73" priority="74" rank="1"/>
  </conditionalFormatting>
  <conditionalFormatting sqref="B156:C156">
    <cfRule type="top10" dxfId="72" priority="73" rank="1"/>
  </conditionalFormatting>
  <conditionalFormatting sqref="B157:C157">
    <cfRule type="top10" dxfId="71" priority="72" rank="1"/>
  </conditionalFormatting>
  <conditionalFormatting sqref="B158:C158">
    <cfRule type="top10" dxfId="70" priority="71" rank="1"/>
  </conditionalFormatting>
  <conditionalFormatting sqref="B159:C159">
    <cfRule type="top10" dxfId="69" priority="70" rank="1"/>
  </conditionalFormatting>
  <conditionalFormatting sqref="B160:C160">
    <cfRule type="top10" dxfId="68" priority="69" rank="1"/>
  </conditionalFormatting>
  <conditionalFormatting sqref="B161:C161">
    <cfRule type="top10" dxfId="67" priority="68" rank="1"/>
  </conditionalFormatting>
  <conditionalFormatting sqref="B162:C162">
    <cfRule type="top10" dxfId="66" priority="67" rank="1"/>
  </conditionalFormatting>
  <conditionalFormatting sqref="B163:C163">
    <cfRule type="top10" dxfId="65" priority="66" rank="1"/>
  </conditionalFormatting>
  <conditionalFormatting sqref="B164:C164">
    <cfRule type="top10" dxfId="64" priority="65" rank="1"/>
  </conditionalFormatting>
  <conditionalFormatting sqref="B165:C165">
    <cfRule type="top10" dxfId="63" priority="64" rank="1"/>
  </conditionalFormatting>
  <conditionalFormatting sqref="B166:C166">
    <cfRule type="top10" dxfId="62" priority="63" rank="1"/>
  </conditionalFormatting>
  <conditionalFormatting sqref="B167:C167">
    <cfRule type="top10" dxfId="61" priority="62" rank="1"/>
  </conditionalFormatting>
  <conditionalFormatting sqref="B168:C168">
    <cfRule type="top10" dxfId="60" priority="61" rank="1"/>
  </conditionalFormatting>
  <conditionalFormatting sqref="B169:C169">
    <cfRule type="top10" dxfId="59" priority="60" rank="1"/>
  </conditionalFormatting>
  <conditionalFormatting sqref="B170:C170">
    <cfRule type="top10" dxfId="58" priority="59" rank="1"/>
  </conditionalFormatting>
  <conditionalFormatting sqref="B171:C171">
    <cfRule type="top10" dxfId="57" priority="58" rank="1"/>
  </conditionalFormatting>
  <conditionalFormatting sqref="B172:C172">
    <cfRule type="top10" dxfId="56" priority="57" rank="1"/>
  </conditionalFormatting>
  <conditionalFormatting sqref="B173:C173">
    <cfRule type="top10" dxfId="55" priority="56" rank="1"/>
  </conditionalFormatting>
  <conditionalFormatting sqref="B174:C174">
    <cfRule type="top10" dxfId="54" priority="55" rank="1"/>
  </conditionalFormatting>
  <conditionalFormatting sqref="B175:C175">
    <cfRule type="top10" dxfId="53" priority="54" rank="1"/>
  </conditionalFormatting>
  <conditionalFormatting sqref="B176:C176">
    <cfRule type="top10" dxfId="52" priority="53" rank="1"/>
  </conditionalFormatting>
  <conditionalFormatting sqref="B177:C177">
    <cfRule type="top10" dxfId="51" priority="52" rank="1"/>
  </conditionalFormatting>
  <conditionalFormatting sqref="B178:C178">
    <cfRule type="top10" dxfId="50" priority="51" rank="1"/>
  </conditionalFormatting>
  <conditionalFormatting sqref="B179:C179">
    <cfRule type="top10" dxfId="49" priority="50" rank="1"/>
  </conditionalFormatting>
  <conditionalFormatting sqref="B180:C180">
    <cfRule type="top10" dxfId="48" priority="49" rank="1"/>
  </conditionalFormatting>
  <conditionalFormatting sqref="B181:C181">
    <cfRule type="top10" dxfId="47" priority="48" rank="1"/>
  </conditionalFormatting>
  <conditionalFormatting sqref="B182:C182">
    <cfRule type="top10" dxfId="46" priority="47" rank="1"/>
  </conditionalFormatting>
  <conditionalFormatting sqref="B183:C183">
    <cfRule type="top10" dxfId="45" priority="46" rank="1"/>
  </conditionalFormatting>
  <conditionalFormatting sqref="B184:C184">
    <cfRule type="top10" dxfId="44" priority="45" rank="1"/>
  </conditionalFormatting>
  <conditionalFormatting sqref="B185:C185">
    <cfRule type="top10" dxfId="43" priority="44" rank="1"/>
  </conditionalFormatting>
  <conditionalFormatting sqref="B186:C186">
    <cfRule type="top10" dxfId="42" priority="43" rank="1"/>
  </conditionalFormatting>
  <conditionalFormatting sqref="B187:C187">
    <cfRule type="top10" dxfId="41" priority="42" rank="1"/>
  </conditionalFormatting>
  <conditionalFormatting sqref="B188:C188">
    <cfRule type="top10" dxfId="40" priority="41" rank="1"/>
  </conditionalFormatting>
  <conditionalFormatting sqref="B189:C189">
    <cfRule type="top10" dxfId="39" priority="40" rank="1"/>
  </conditionalFormatting>
  <conditionalFormatting sqref="B190:C190">
    <cfRule type="top10" dxfId="38" priority="39" rank="1"/>
  </conditionalFormatting>
  <conditionalFormatting sqref="B191:C191">
    <cfRule type="top10" dxfId="37" priority="38" rank="1"/>
  </conditionalFormatting>
  <conditionalFormatting sqref="B192:C192">
    <cfRule type="top10" dxfId="36" priority="37" rank="1"/>
  </conditionalFormatting>
  <conditionalFormatting sqref="B193:C193">
    <cfRule type="top10" dxfId="35" priority="36" rank="1"/>
  </conditionalFormatting>
  <conditionalFormatting sqref="B194:C194">
    <cfRule type="top10" dxfId="34" priority="35" rank="1"/>
  </conditionalFormatting>
  <conditionalFormatting sqref="B195:C195">
    <cfRule type="top10" dxfId="33" priority="34" rank="1"/>
  </conditionalFormatting>
  <conditionalFormatting sqref="B196:C196">
    <cfRule type="top10" dxfId="32" priority="33" rank="1"/>
  </conditionalFormatting>
  <conditionalFormatting sqref="B197:C197">
    <cfRule type="top10" dxfId="31" priority="32" rank="1"/>
  </conditionalFormatting>
  <conditionalFormatting sqref="B198:C198">
    <cfRule type="top10" dxfId="30" priority="31" rank="1"/>
  </conditionalFormatting>
  <conditionalFormatting sqref="B199:C199">
    <cfRule type="top10" dxfId="29" priority="30" rank="1"/>
  </conditionalFormatting>
  <conditionalFormatting sqref="B200:C200">
    <cfRule type="top10" dxfId="28" priority="29" rank="1"/>
  </conditionalFormatting>
  <conditionalFormatting sqref="B201:C201">
    <cfRule type="top10" dxfId="27" priority="28" rank="1"/>
  </conditionalFormatting>
  <conditionalFormatting sqref="B202:C202">
    <cfRule type="top10" dxfId="26" priority="27" rank="1"/>
  </conditionalFormatting>
  <conditionalFormatting sqref="B203:C203">
    <cfRule type="top10" dxfId="25" priority="26" rank="1"/>
  </conditionalFormatting>
  <conditionalFormatting sqref="B204:C204">
    <cfRule type="top10" dxfId="24" priority="25" rank="1"/>
  </conditionalFormatting>
  <conditionalFormatting sqref="B205:C205">
    <cfRule type="top10" dxfId="23" priority="24" rank="1"/>
  </conditionalFormatting>
  <conditionalFormatting sqref="B206:C206">
    <cfRule type="top10" dxfId="22" priority="23" rank="1"/>
  </conditionalFormatting>
  <conditionalFormatting sqref="B207:C207">
    <cfRule type="top10" dxfId="21" priority="22" rank="1"/>
  </conditionalFormatting>
  <conditionalFormatting sqref="B208:C208">
    <cfRule type="top10" dxfId="20" priority="21" rank="1"/>
  </conditionalFormatting>
  <conditionalFormatting sqref="B209:C209">
    <cfRule type="top10" dxfId="19" priority="20" rank="1"/>
  </conditionalFormatting>
  <conditionalFormatting sqref="B210:C210">
    <cfRule type="top10" dxfId="18" priority="19" rank="1"/>
  </conditionalFormatting>
  <conditionalFormatting sqref="B211:C211">
    <cfRule type="top10" dxfId="17" priority="18" rank="1"/>
  </conditionalFormatting>
  <conditionalFormatting sqref="B212:C212">
    <cfRule type="top10" dxfId="16" priority="17" rank="1"/>
  </conditionalFormatting>
  <conditionalFormatting sqref="B213:C213">
    <cfRule type="top10" dxfId="15" priority="16" rank="1"/>
  </conditionalFormatting>
  <conditionalFormatting sqref="B214:C214">
    <cfRule type="top10" dxfId="14" priority="15" rank="1"/>
  </conditionalFormatting>
  <conditionalFormatting sqref="B215:C215">
    <cfRule type="top10" dxfId="13" priority="14" rank="1"/>
  </conditionalFormatting>
  <conditionalFormatting sqref="B216:C216">
    <cfRule type="top10" dxfId="12" priority="13" rank="1"/>
  </conditionalFormatting>
  <conditionalFormatting sqref="B217:C217">
    <cfRule type="top10" dxfId="11" priority="12" rank="1"/>
  </conditionalFormatting>
  <conditionalFormatting sqref="B218:C218">
    <cfRule type="top10" dxfId="10" priority="11" rank="1"/>
  </conditionalFormatting>
  <conditionalFormatting sqref="B219:C219">
    <cfRule type="top10" dxfId="9" priority="10" rank="1"/>
  </conditionalFormatting>
  <conditionalFormatting sqref="B220:C220">
    <cfRule type="top10" dxfId="8" priority="9" rank="1"/>
  </conditionalFormatting>
  <conditionalFormatting sqref="B221:C221">
    <cfRule type="top10" dxfId="7" priority="8" rank="1"/>
  </conditionalFormatting>
  <conditionalFormatting sqref="B222:C222">
    <cfRule type="top10" dxfId="6" priority="7" rank="1"/>
  </conditionalFormatting>
  <conditionalFormatting sqref="B223:C223">
    <cfRule type="top10" dxfId="5" priority="6" rank="1"/>
  </conditionalFormatting>
  <conditionalFormatting sqref="B224:C224">
    <cfRule type="top10" dxfId="4" priority="5" rank="1"/>
  </conditionalFormatting>
  <conditionalFormatting sqref="B225:C225">
    <cfRule type="top10" dxfId="3" priority="4" rank="1"/>
  </conditionalFormatting>
  <conditionalFormatting sqref="B226:C226">
    <cfRule type="top10" dxfId="2" priority="3" rank="1"/>
  </conditionalFormatting>
  <conditionalFormatting sqref="B227:C227">
    <cfRule type="top10" dxfId="1" priority="2" rank="1"/>
  </conditionalFormatting>
  <conditionalFormatting sqref="B228:C228">
    <cfRule type="top10" dxfId="0" priority="1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CD5F-ACC1-44E8-ABFE-F0AB64933D66}">
  <dimension ref="A1:P26"/>
  <sheetViews>
    <sheetView workbookViewId="0">
      <selection activeCell="E12" sqref="E12"/>
    </sheetView>
  </sheetViews>
  <sheetFormatPr defaultColWidth="15.6328125" defaultRowHeight="21" x14ac:dyDescent="0.35"/>
  <cols>
    <col min="1" max="16384" width="15.6328125" style="19"/>
  </cols>
  <sheetData>
    <row r="1" spans="1:16" x14ac:dyDescent="0.35">
      <c r="A1" s="19" t="s">
        <v>33</v>
      </c>
      <c r="B1" s="20" t="s">
        <v>34</v>
      </c>
      <c r="E1" s="19" t="s">
        <v>35</v>
      </c>
      <c r="F1" s="19">
        <v>3</v>
      </c>
      <c r="H1" s="19" t="s">
        <v>36</v>
      </c>
      <c r="I1" s="20" t="s">
        <v>37</v>
      </c>
      <c r="K1" s="19" t="s">
        <v>38</v>
      </c>
      <c r="L1" s="19">
        <v>100</v>
      </c>
    </row>
    <row r="2" spans="1:16" x14ac:dyDescent="0.35">
      <c r="A2" s="19" t="s">
        <v>39</v>
      </c>
      <c r="B2" s="19" t="e">
        <f>'2 states rev'!#REF!</f>
        <v>#REF!</v>
      </c>
      <c r="E2" s="19" t="s">
        <v>40</v>
      </c>
      <c r="F2" s="19">
        <f>_xll.PTreeEvaluate5(B3,$L$11:$L$26,$J$11:$J$26,$K$11:$K$26,$N$11:$N$26,$G$11:$G$26,,L1)</f>
        <v>402617882</v>
      </c>
    </row>
    <row r="3" spans="1:16" x14ac:dyDescent="0.35">
      <c r="A3" s="19" t="s">
        <v>41</v>
      </c>
      <c r="B3" s="19" t="s">
        <v>42</v>
      </c>
      <c r="E3" s="19" t="s">
        <v>43</v>
      </c>
      <c r="F3" s="20" t="s">
        <v>44</v>
      </c>
      <c r="H3" s="19" t="s">
        <v>45</v>
      </c>
      <c r="I3" s="19" t="s">
        <v>46</v>
      </c>
    </row>
    <row r="4" spans="1:16" x14ac:dyDescent="0.35">
      <c r="A4" s="19" t="s">
        <v>47</v>
      </c>
      <c r="B4" s="19" t="s">
        <v>48</v>
      </c>
      <c r="E4" s="19" t="s">
        <v>49</v>
      </c>
      <c r="F4" s="20" t="s">
        <v>50</v>
      </c>
      <c r="H4" s="19" t="s">
        <v>51</v>
      </c>
      <c r="I4" s="20" t="s">
        <v>52</v>
      </c>
    </row>
    <row r="5" spans="1:16" x14ac:dyDescent="0.35">
      <c r="A5" s="19" t="s">
        <v>53</v>
      </c>
      <c r="B5" s="19">
        <v>0</v>
      </c>
      <c r="D5" s="19">
        <v>0</v>
      </c>
      <c r="E5" s="19" t="s">
        <v>54</v>
      </c>
      <c r="F5" s="20" t="s">
        <v>50</v>
      </c>
      <c r="H5" s="19" t="s">
        <v>55</v>
      </c>
      <c r="I5" s="19" t="s">
        <v>46</v>
      </c>
    </row>
    <row r="6" spans="1:16" x14ac:dyDescent="0.35">
      <c r="A6" s="19" t="s">
        <v>56</v>
      </c>
      <c r="E6" s="19" t="s">
        <v>57</v>
      </c>
      <c r="F6" s="20" t="s">
        <v>44</v>
      </c>
      <c r="H6" s="19" t="s">
        <v>58</v>
      </c>
      <c r="I6" s="20" t="s">
        <v>52</v>
      </c>
    </row>
    <row r="7" spans="1:16" x14ac:dyDescent="0.35">
      <c r="A7" s="19" t="s">
        <v>59</v>
      </c>
      <c r="E7" s="19" t="s">
        <v>60</v>
      </c>
      <c r="F7" s="20" t="s">
        <v>108</v>
      </c>
    </row>
    <row r="8" spans="1:16" x14ac:dyDescent="0.35">
      <c r="A8" s="19" t="s">
        <v>61</v>
      </c>
      <c r="B8" s="19">
        <v>16</v>
      </c>
    </row>
    <row r="10" spans="1:16" x14ac:dyDescent="0.35">
      <c r="A10" s="19" t="s">
        <v>62</v>
      </c>
      <c r="B10" s="19" t="s">
        <v>63</v>
      </c>
      <c r="C10" s="19" t="s">
        <v>64</v>
      </c>
      <c r="D10" s="19" t="s">
        <v>65</v>
      </c>
      <c r="E10" s="19" t="s">
        <v>66</v>
      </c>
      <c r="F10" s="19" t="s">
        <v>67</v>
      </c>
      <c r="G10" s="19" t="s">
        <v>68</v>
      </c>
      <c r="H10" s="19" t="s">
        <v>69</v>
      </c>
      <c r="I10" s="19" t="s">
        <v>70</v>
      </c>
      <c r="J10" s="19" t="s">
        <v>71</v>
      </c>
      <c r="K10" s="19" t="s">
        <v>72</v>
      </c>
      <c r="L10" s="19" t="s">
        <v>41</v>
      </c>
      <c r="M10" s="19" t="s">
        <v>73</v>
      </c>
      <c r="N10" s="19" t="s">
        <v>74</v>
      </c>
      <c r="O10" s="19" t="s">
        <v>75</v>
      </c>
      <c r="P10" s="19" t="s">
        <v>76</v>
      </c>
    </row>
    <row r="11" spans="1:16" x14ac:dyDescent="0.35">
      <c r="A11" s="19">
        <f>'2 states rev'!$B$103</f>
        <v>0.10897599999999998</v>
      </c>
      <c r="B11" s="19" t="str">
        <f>B1</f>
        <v>G Tree</v>
      </c>
      <c r="C11" s="19">
        <v>0</v>
      </c>
      <c r="I11" s="19" t="s">
        <v>77</v>
      </c>
      <c r="J11" s="19">
        <f>'2 states rev'!$A$103</f>
        <v>0</v>
      </c>
      <c r="K11" s="19">
        <f>'2 states rev'!$A$102</f>
        <v>0</v>
      </c>
      <c r="L11" s="19" t="s">
        <v>78</v>
      </c>
      <c r="M11" s="20" t="s">
        <v>79</v>
      </c>
      <c r="O11" s="19" t="str">
        <f>'2 states rev'!$B$102</f>
        <v>signal</v>
      </c>
      <c r="P11" s="19" t="b">
        <v>0</v>
      </c>
    </row>
    <row r="12" spans="1:16" x14ac:dyDescent="0.35">
      <c r="A12" s="19">
        <f>'2 states rev'!$C$95</f>
        <v>0</v>
      </c>
      <c r="B12" s="20" t="s">
        <v>79</v>
      </c>
      <c r="C12" s="19">
        <v>0</v>
      </c>
      <c r="I12" s="19" t="s">
        <v>77</v>
      </c>
      <c r="J12" s="19">
        <f>'2 states rev'!$B$95</f>
        <v>0</v>
      </c>
      <c r="K12" s="19">
        <f>'2 states rev'!$B$94</f>
        <v>0.65700000000000003</v>
      </c>
      <c r="L12" s="19" t="s">
        <v>80</v>
      </c>
      <c r="M12" s="20" t="s">
        <v>79</v>
      </c>
      <c r="O12" s="19" t="str">
        <f>'2 states rev'!$C$94</f>
        <v>Decision</v>
      </c>
      <c r="P12" s="19" t="b">
        <v>0</v>
      </c>
    </row>
    <row r="13" spans="1:16" x14ac:dyDescent="0.35">
      <c r="A13" s="19">
        <f>'2 states rev'!$D$93</f>
        <v>0</v>
      </c>
      <c r="B13" s="20" t="s">
        <v>81</v>
      </c>
      <c r="C13" s="19">
        <v>0</v>
      </c>
      <c r="H13" s="19" t="s">
        <v>77</v>
      </c>
      <c r="I13" s="19" t="s">
        <v>77</v>
      </c>
      <c r="J13" s="19">
        <f>'2 states rev'!$C$93</f>
        <v>0</v>
      </c>
      <c r="L13" s="19" t="s">
        <v>82</v>
      </c>
      <c r="M13" s="20" t="s">
        <v>79</v>
      </c>
      <c r="P13" s="19" t="b">
        <v>0</v>
      </c>
    </row>
    <row r="14" spans="1:16" x14ac:dyDescent="0.35">
      <c r="A14" s="19">
        <f>'2 states rev'!$D$99</f>
        <v>-0.10498630136986298</v>
      </c>
      <c r="B14" s="20" t="s">
        <v>83</v>
      </c>
      <c r="C14" s="19">
        <v>0</v>
      </c>
      <c r="I14" s="19" t="s">
        <v>77</v>
      </c>
      <c r="J14" s="19">
        <f>'2 states rev'!$C$99</f>
        <v>0</v>
      </c>
      <c r="L14" s="19" t="s">
        <v>84</v>
      </c>
      <c r="M14" s="20" t="s">
        <v>79</v>
      </c>
      <c r="O14" s="19" t="str">
        <f>'2 states rev'!$D$98</f>
        <v>Chance</v>
      </c>
      <c r="P14" s="19" t="b">
        <v>0</v>
      </c>
    </row>
    <row r="15" spans="1:16" x14ac:dyDescent="0.35">
      <c r="A15" s="19">
        <f>'2 states rev'!$E$97</f>
        <v>-0.19999999999999998</v>
      </c>
      <c r="B15" s="20" t="s">
        <v>16</v>
      </c>
      <c r="C15" s="19">
        <v>0</v>
      </c>
      <c r="H15" s="19" t="s">
        <v>77</v>
      </c>
      <c r="I15" s="19" t="s">
        <v>77</v>
      </c>
      <c r="J15" s="19">
        <f>'2 states rev'!$D$97</f>
        <v>-0.19999999999999998</v>
      </c>
      <c r="K15" s="19">
        <f>'2 states rev'!$D$96</f>
        <v>0.8416438356164383</v>
      </c>
      <c r="L15" s="19" t="s">
        <v>85</v>
      </c>
      <c r="M15" s="20" t="s">
        <v>79</v>
      </c>
      <c r="P15" s="19" t="b">
        <v>0</v>
      </c>
    </row>
    <row r="16" spans="1:16" x14ac:dyDescent="0.35">
      <c r="A16" s="19">
        <f>'2 states rev'!$E$101</f>
        <v>0.39999999999999997</v>
      </c>
      <c r="B16" s="20" t="s">
        <v>18</v>
      </c>
      <c r="C16" s="19">
        <v>0</v>
      </c>
      <c r="H16" s="19" t="s">
        <v>77</v>
      </c>
      <c r="I16" s="19" t="s">
        <v>77</v>
      </c>
      <c r="J16" s="19">
        <f>'2 states rev'!$D$101</f>
        <v>0.39999999999999997</v>
      </c>
      <c r="K16" s="19">
        <f>'2 states rev'!$D$100</f>
        <v>0.1583561643835617</v>
      </c>
      <c r="L16" s="19" t="s">
        <v>85</v>
      </c>
      <c r="M16" s="20" t="s">
        <v>79</v>
      </c>
      <c r="P16" s="19" t="b">
        <v>0</v>
      </c>
    </row>
    <row r="17" spans="1:16" x14ac:dyDescent="0.35">
      <c r="A17" s="19">
        <f>'2 states rev'!$C$107</f>
        <v>0.2876097560975609</v>
      </c>
      <c r="B17" s="20" t="s">
        <v>86</v>
      </c>
      <c r="C17" s="19">
        <v>0</v>
      </c>
      <c r="I17" s="19" t="s">
        <v>77</v>
      </c>
      <c r="J17" s="19">
        <f>'2 states rev'!$B$107</f>
        <v>0</v>
      </c>
      <c r="K17" s="19">
        <f>'2 states rev'!$B$106</f>
        <v>0.246</v>
      </c>
      <c r="L17" s="19" t="s">
        <v>87</v>
      </c>
      <c r="M17" s="20" t="s">
        <v>79</v>
      </c>
      <c r="O17" s="19" t="str">
        <f>'2 states rev'!$C$106</f>
        <v>Decision</v>
      </c>
      <c r="P17" s="19" t="b">
        <v>0</v>
      </c>
    </row>
    <row r="18" spans="1:16" x14ac:dyDescent="0.35">
      <c r="A18" s="19">
        <f>'2 states rev'!$D$105</f>
        <v>0</v>
      </c>
      <c r="B18" s="20" t="s">
        <v>81</v>
      </c>
      <c r="C18" s="19">
        <v>0</v>
      </c>
      <c r="H18" s="19" t="s">
        <v>77</v>
      </c>
      <c r="I18" s="19" t="s">
        <v>77</v>
      </c>
      <c r="J18" s="19">
        <f>'2 states rev'!$C$105</f>
        <v>0</v>
      </c>
      <c r="L18" s="19" t="s">
        <v>88</v>
      </c>
      <c r="M18" s="20" t="s">
        <v>79</v>
      </c>
      <c r="P18" s="19" t="b">
        <v>0</v>
      </c>
    </row>
    <row r="19" spans="1:16" x14ac:dyDescent="0.35">
      <c r="A19" s="19">
        <f>'2 states rev'!$D$111</f>
        <v>0.2876097560975609</v>
      </c>
      <c r="B19" s="20" t="s">
        <v>83</v>
      </c>
      <c r="C19" s="19">
        <v>0</v>
      </c>
      <c r="I19" s="19" t="s">
        <v>77</v>
      </c>
      <c r="J19" s="19">
        <f>'2 states rev'!$C$111</f>
        <v>0</v>
      </c>
      <c r="L19" s="19" t="s">
        <v>89</v>
      </c>
      <c r="M19" s="20" t="s">
        <v>79</v>
      </c>
      <c r="O19" s="19" t="str">
        <f>'2 states rev'!$D$110</f>
        <v>Chance</v>
      </c>
      <c r="P19" s="19" t="b">
        <v>0</v>
      </c>
    </row>
    <row r="20" spans="1:16" x14ac:dyDescent="0.35">
      <c r="A20" s="19">
        <f>'2 states rev'!$E$109</f>
        <v>-0.19999999999999998</v>
      </c>
      <c r="B20" s="20" t="s">
        <v>16</v>
      </c>
      <c r="C20" s="19">
        <v>0</v>
      </c>
      <c r="H20" s="19" t="s">
        <v>77</v>
      </c>
      <c r="I20" s="19" t="s">
        <v>77</v>
      </c>
      <c r="J20" s="19">
        <f>'2 states rev'!$D$109</f>
        <v>-0.19999999999999998</v>
      </c>
      <c r="K20" s="19">
        <f>'2 states rev'!$D$108</f>
        <v>0.18731707317073173</v>
      </c>
      <c r="L20" s="19" t="s">
        <v>90</v>
      </c>
      <c r="M20" s="20" t="s">
        <v>79</v>
      </c>
      <c r="P20" s="19" t="b">
        <v>0</v>
      </c>
    </row>
    <row r="21" spans="1:16" x14ac:dyDescent="0.35">
      <c r="A21" s="19">
        <f>'2 states rev'!$E$113</f>
        <v>0.39999999999999997</v>
      </c>
      <c r="B21" s="20" t="s">
        <v>18</v>
      </c>
      <c r="C21" s="19">
        <v>0</v>
      </c>
      <c r="H21" s="19" t="s">
        <v>77</v>
      </c>
      <c r="I21" s="19" t="s">
        <v>77</v>
      </c>
      <c r="J21" s="19">
        <f>'2 states rev'!$D$113</f>
        <v>0.39999999999999997</v>
      </c>
      <c r="K21" s="19">
        <f>'2 states rev'!$D$112</f>
        <v>0.81268292682926824</v>
      </c>
      <c r="L21" s="19" t="s">
        <v>90</v>
      </c>
      <c r="M21" s="20" t="s">
        <v>79</v>
      </c>
      <c r="P21" s="19" t="b">
        <v>0</v>
      </c>
    </row>
    <row r="22" spans="1:16" x14ac:dyDescent="0.35">
      <c r="A22" s="19">
        <f>'2 states rev'!$C$117</f>
        <v>0.3940618556701031</v>
      </c>
      <c r="B22" s="20" t="s">
        <v>91</v>
      </c>
      <c r="C22" s="19">
        <v>0</v>
      </c>
      <c r="I22" s="19" t="s">
        <v>77</v>
      </c>
      <c r="J22" s="19">
        <f>'2 states rev'!$B$117</f>
        <v>0</v>
      </c>
      <c r="K22" s="19">
        <f>'2 states rev'!$B$116</f>
        <v>9.6999999999999975E-2</v>
      </c>
      <c r="L22" s="19" t="s">
        <v>92</v>
      </c>
      <c r="M22" s="20" t="s">
        <v>79</v>
      </c>
      <c r="O22" s="19" t="str">
        <f>'2 states rev'!$C$116</f>
        <v>Decision</v>
      </c>
      <c r="P22" s="19" t="b">
        <v>0</v>
      </c>
    </row>
    <row r="23" spans="1:16" x14ac:dyDescent="0.35">
      <c r="A23" s="19">
        <f>'2 states rev'!$D$115</f>
        <v>0</v>
      </c>
      <c r="B23" s="20" t="s">
        <v>81</v>
      </c>
      <c r="C23" s="19">
        <v>0</v>
      </c>
      <c r="H23" s="19" t="s">
        <v>77</v>
      </c>
      <c r="I23" s="19" t="s">
        <v>77</v>
      </c>
      <c r="J23" s="19">
        <f>'2 states rev'!$C$115</f>
        <v>0</v>
      </c>
      <c r="L23" s="19" t="s">
        <v>93</v>
      </c>
      <c r="M23" s="20" t="s">
        <v>79</v>
      </c>
      <c r="P23" s="19" t="b">
        <v>0</v>
      </c>
    </row>
    <row r="24" spans="1:16" x14ac:dyDescent="0.35">
      <c r="A24" s="19">
        <f>'2 states rev'!$D$121</f>
        <v>0.3940618556701031</v>
      </c>
      <c r="B24" s="20" t="s">
        <v>83</v>
      </c>
      <c r="C24" s="19">
        <v>0</v>
      </c>
      <c r="I24" s="19" t="s">
        <v>77</v>
      </c>
      <c r="J24" s="19">
        <f>'2 states rev'!$C$121</f>
        <v>0</v>
      </c>
      <c r="L24" s="19" t="s">
        <v>94</v>
      </c>
      <c r="M24" s="20" t="s">
        <v>79</v>
      </c>
      <c r="O24" s="19" t="str">
        <f>'2 states rev'!$D$120</f>
        <v>Chance</v>
      </c>
      <c r="P24" s="19" t="b">
        <v>0</v>
      </c>
    </row>
    <row r="25" spans="1:16" x14ac:dyDescent="0.35">
      <c r="A25" s="19">
        <f>'2 states rev'!$E$119</f>
        <v>-0.19999999999999998</v>
      </c>
      <c r="B25" s="20" t="s">
        <v>16</v>
      </c>
      <c r="C25" s="19">
        <v>0</v>
      </c>
      <c r="H25" s="19" t="s">
        <v>77</v>
      </c>
      <c r="I25" s="19" t="s">
        <v>77</v>
      </c>
      <c r="J25" s="19">
        <f>'2 states rev'!$D$119</f>
        <v>-0.19999999999999998</v>
      </c>
      <c r="K25" s="19">
        <f>'2 states rev'!$D$118</f>
        <v>9.8969072164948498E-3</v>
      </c>
      <c r="L25" s="19" t="s">
        <v>95</v>
      </c>
      <c r="M25" s="20" t="s">
        <v>79</v>
      </c>
      <c r="P25" s="19" t="b">
        <v>0</v>
      </c>
    </row>
    <row r="26" spans="1:16" x14ac:dyDescent="0.35">
      <c r="A26" s="19">
        <f>'2 states rev'!$E$123</f>
        <v>0.39999999999999997</v>
      </c>
      <c r="B26" s="20" t="s">
        <v>18</v>
      </c>
      <c r="C26" s="19">
        <v>0</v>
      </c>
      <c r="H26" s="19" t="s">
        <v>77</v>
      </c>
      <c r="I26" s="19" t="s">
        <v>77</v>
      </c>
      <c r="J26" s="19">
        <f>'2 states rev'!$D$123</f>
        <v>0.39999999999999997</v>
      </c>
      <c r="K26" s="19">
        <f>'2 states rev'!$D$122</f>
        <v>0.99010309278350517</v>
      </c>
      <c r="L26" s="19" t="s">
        <v>95</v>
      </c>
      <c r="M26" s="20" t="s">
        <v>79</v>
      </c>
      <c r="P26" s="1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BB38-D03E-4257-B831-58B57DFD9DE4}">
  <dimension ref="A1:P26"/>
  <sheetViews>
    <sheetView workbookViewId="0">
      <selection activeCell="E12" sqref="E12"/>
    </sheetView>
  </sheetViews>
  <sheetFormatPr defaultColWidth="15.6328125" defaultRowHeight="21" x14ac:dyDescent="0.35"/>
  <cols>
    <col min="1" max="16384" width="15.6328125" style="19"/>
  </cols>
  <sheetData>
    <row r="1" spans="1:16" x14ac:dyDescent="0.35">
      <c r="A1" s="19" t="s">
        <v>33</v>
      </c>
      <c r="B1" s="20" t="s">
        <v>96</v>
      </c>
      <c r="E1" s="19" t="s">
        <v>35</v>
      </c>
      <c r="F1" s="19">
        <v>3</v>
      </c>
      <c r="H1" s="19" t="s">
        <v>36</v>
      </c>
      <c r="I1" s="20" t="s">
        <v>37</v>
      </c>
      <c r="K1" s="19" t="s">
        <v>38</v>
      </c>
      <c r="L1" s="19">
        <v>100</v>
      </c>
    </row>
    <row r="2" spans="1:16" x14ac:dyDescent="0.35">
      <c r="A2" s="19" t="s">
        <v>39</v>
      </c>
      <c r="B2" s="19" t="e">
        <f>'2 states rev'!#REF!</f>
        <v>#REF!</v>
      </c>
      <c r="E2" s="19" t="s">
        <v>40</v>
      </c>
      <c r="F2" s="19">
        <f>_xll.PTreeEvaluate5(B3,$L$11:$L$26,$J$11:$J$26,$K$11:$K$26,$N$11:$N$26,$G$11:$G$26,,L1)</f>
        <v>402643609</v>
      </c>
    </row>
    <row r="3" spans="1:16" x14ac:dyDescent="0.35">
      <c r="A3" s="19" t="s">
        <v>41</v>
      </c>
      <c r="B3" s="19" t="s">
        <v>97</v>
      </c>
      <c r="E3" s="19" t="s">
        <v>43</v>
      </c>
      <c r="F3" s="20" t="s">
        <v>44</v>
      </c>
      <c r="H3" s="19" t="s">
        <v>45</v>
      </c>
      <c r="I3" s="19" t="s">
        <v>46</v>
      </c>
    </row>
    <row r="4" spans="1:16" x14ac:dyDescent="0.35">
      <c r="A4" s="19" t="s">
        <v>47</v>
      </c>
      <c r="B4" s="19" t="s">
        <v>48</v>
      </c>
      <c r="E4" s="19" t="s">
        <v>49</v>
      </c>
      <c r="F4" s="20" t="s">
        <v>50</v>
      </c>
      <c r="H4" s="19" t="s">
        <v>51</v>
      </c>
      <c r="I4" s="20" t="s">
        <v>52</v>
      </c>
    </row>
    <row r="5" spans="1:16" x14ac:dyDescent="0.35">
      <c r="A5" s="19" t="s">
        <v>53</v>
      </c>
      <c r="B5" s="19">
        <v>0</v>
      </c>
      <c r="D5" s="19">
        <v>0</v>
      </c>
      <c r="E5" s="19" t="s">
        <v>54</v>
      </c>
      <c r="F5" s="20" t="s">
        <v>50</v>
      </c>
      <c r="H5" s="19" t="s">
        <v>55</v>
      </c>
      <c r="I5" s="19" t="s">
        <v>46</v>
      </c>
    </row>
    <row r="6" spans="1:16" x14ac:dyDescent="0.35">
      <c r="A6" s="19" t="s">
        <v>56</v>
      </c>
      <c r="E6" s="19" t="s">
        <v>57</v>
      </c>
      <c r="F6" s="20" t="s">
        <v>44</v>
      </c>
      <c r="H6" s="19" t="s">
        <v>58</v>
      </c>
      <c r="I6" s="20" t="s">
        <v>52</v>
      </c>
    </row>
    <row r="7" spans="1:16" x14ac:dyDescent="0.35">
      <c r="A7" s="19" t="s">
        <v>59</v>
      </c>
      <c r="E7" s="19" t="s">
        <v>60</v>
      </c>
      <c r="F7" s="20" t="s">
        <v>107</v>
      </c>
    </row>
    <row r="8" spans="1:16" x14ac:dyDescent="0.35">
      <c r="A8" s="19" t="s">
        <v>61</v>
      </c>
      <c r="B8" s="19">
        <v>16</v>
      </c>
    </row>
    <row r="10" spans="1:16" x14ac:dyDescent="0.35">
      <c r="A10" s="19" t="s">
        <v>62</v>
      </c>
      <c r="B10" s="19" t="s">
        <v>63</v>
      </c>
      <c r="C10" s="19" t="s">
        <v>64</v>
      </c>
      <c r="D10" s="19" t="s">
        <v>65</v>
      </c>
      <c r="E10" s="19" t="s">
        <v>66</v>
      </c>
      <c r="F10" s="19" t="s">
        <v>67</v>
      </c>
      <c r="G10" s="19" t="s">
        <v>68</v>
      </c>
      <c r="H10" s="19" t="s">
        <v>69</v>
      </c>
      <c r="I10" s="19" t="s">
        <v>70</v>
      </c>
      <c r="J10" s="19" t="s">
        <v>71</v>
      </c>
      <c r="K10" s="19" t="s">
        <v>72</v>
      </c>
      <c r="L10" s="19" t="s">
        <v>41</v>
      </c>
      <c r="M10" s="19" t="s">
        <v>73</v>
      </c>
      <c r="N10" s="19" t="s">
        <v>74</v>
      </c>
      <c r="O10" s="19" t="s">
        <v>75</v>
      </c>
      <c r="P10" s="19" t="s">
        <v>76</v>
      </c>
    </row>
    <row r="11" spans="1:16" x14ac:dyDescent="0.35">
      <c r="A11" s="19">
        <f>'2 states rev'!$B$64</f>
        <v>0.12280000000000002</v>
      </c>
      <c r="B11" s="19" t="str">
        <f>B1</f>
        <v>F tree</v>
      </c>
      <c r="C11" s="19">
        <v>0</v>
      </c>
      <c r="I11" s="19" t="s">
        <v>77</v>
      </c>
      <c r="J11" s="19">
        <f>'2 states rev'!$A$64</f>
        <v>0</v>
      </c>
      <c r="K11" s="19">
        <f>'2 states rev'!$A$63</f>
        <v>0</v>
      </c>
      <c r="L11" s="19" t="s">
        <v>98</v>
      </c>
      <c r="M11" s="20" t="s">
        <v>79</v>
      </c>
      <c r="O11" s="19" t="str">
        <f>'2 states rev'!$B$63</f>
        <v>signal</v>
      </c>
      <c r="P11" s="19" t="b">
        <v>0</v>
      </c>
    </row>
    <row r="12" spans="1:16" x14ac:dyDescent="0.35">
      <c r="A12" s="19">
        <f>'2 states rev'!$C$56</f>
        <v>0</v>
      </c>
      <c r="B12" s="20" t="s">
        <v>79</v>
      </c>
      <c r="C12" s="19">
        <v>0</v>
      </c>
      <c r="I12" s="19" t="s">
        <v>77</v>
      </c>
      <c r="J12" s="19">
        <f>'2 states rev'!$B$56</f>
        <v>0</v>
      </c>
      <c r="K12" s="19">
        <f>'2 states rev'!$B$55</f>
        <v>0.52199999999999991</v>
      </c>
      <c r="L12" s="19" t="s">
        <v>99</v>
      </c>
      <c r="M12" s="20" t="s">
        <v>79</v>
      </c>
      <c r="O12" s="19" t="str">
        <f>'2 states rev'!$C$55</f>
        <v>Decision</v>
      </c>
      <c r="P12" s="19" t="b">
        <v>0</v>
      </c>
    </row>
    <row r="13" spans="1:16" x14ac:dyDescent="0.35">
      <c r="A13" s="19">
        <f>'2 states rev'!$C$68</f>
        <v>0.16521739130434782</v>
      </c>
      <c r="B13" s="20" t="s">
        <v>86</v>
      </c>
      <c r="C13" s="19">
        <v>0</v>
      </c>
      <c r="I13" s="19" t="s">
        <v>77</v>
      </c>
      <c r="J13" s="19">
        <f>'2 states rev'!$B$68</f>
        <v>0</v>
      </c>
      <c r="K13" s="19">
        <f>'2 states rev'!$B$67</f>
        <v>0.27600000000000002</v>
      </c>
      <c r="L13" s="19" t="s">
        <v>100</v>
      </c>
      <c r="M13" s="20" t="s">
        <v>79</v>
      </c>
      <c r="O13" s="19" t="str">
        <f>'2 states rev'!$C$67</f>
        <v>Decision</v>
      </c>
      <c r="P13" s="19" t="b">
        <v>0</v>
      </c>
    </row>
    <row r="14" spans="1:16" x14ac:dyDescent="0.35">
      <c r="A14" s="19">
        <f>'2 states rev'!$C$78</f>
        <v>0.38217821782178213</v>
      </c>
      <c r="B14" s="20" t="s">
        <v>91</v>
      </c>
      <c r="C14" s="19">
        <v>0</v>
      </c>
      <c r="I14" s="19" t="s">
        <v>77</v>
      </c>
      <c r="J14" s="19">
        <f>'2 states rev'!$B$78</f>
        <v>0</v>
      </c>
      <c r="K14" s="19">
        <f>'2 states rev'!$B$77</f>
        <v>0.20200000000000007</v>
      </c>
      <c r="L14" s="19" t="s">
        <v>92</v>
      </c>
      <c r="M14" s="20" t="s">
        <v>79</v>
      </c>
      <c r="O14" s="19" t="str">
        <f>'2 states rev'!$C$77</f>
        <v>Decision</v>
      </c>
      <c r="P14" s="19" t="b">
        <v>0</v>
      </c>
    </row>
    <row r="15" spans="1:16" x14ac:dyDescent="0.35">
      <c r="A15" s="19">
        <f>'2 states rev'!$D$54</f>
        <v>0</v>
      </c>
      <c r="B15" s="20" t="s">
        <v>81</v>
      </c>
      <c r="C15" s="19">
        <v>0</v>
      </c>
      <c r="H15" s="19" t="s">
        <v>77</v>
      </c>
      <c r="I15" s="19" t="s">
        <v>77</v>
      </c>
      <c r="J15" s="19">
        <f>'2 states rev'!$C$54</f>
        <v>0</v>
      </c>
      <c r="L15" s="19" t="s">
        <v>82</v>
      </c>
      <c r="M15" s="20" t="s">
        <v>79</v>
      </c>
      <c r="P15" s="19" t="b">
        <v>0</v>
      </c>
    </row>
    <row r="16" spans="1:16" x14ac:dyDescent="0.35">
      <c r="A16" s="19">
        <f>'2 states rev'!$D$60</f>
        <v>-0.15862068965517245</v>
      </c>
      <c r="B16" s="20" t="s">
        <v>83</v>
      </c>
      <c r="C16" s="19">
        <v>0</v>
      </c>
      <c r="I16" s="19" t="s">
        <v>77</v>
      </c>
      <c r="J16" s="19">
        <f>'2 states rev'!$C$60</f>
        <v>0</v>
      </c>
      <c r="L16" s="19" t="s">
        <v>101</v>
      </c>
      <c r="M16" s="20" t="s">
        <v>79</v>
      </c>
      <c r="O16" s="19" t="str">
        <f>'2 states rev'!$D$59</f>
        <v>Chance</v>
      </c>
      <c r="P16" s="19" t="b">
        <v>0</v>
      </c>
    </row>
    <row r="17" spans="1:16" x14ac:dyDescent="0.35">
      <c r="A17" s="19">
        <f>'2 states rev'!$E$58</f>
        <v>-0.19999999999999998</v>
      </c>
      <c r="B17" s="20" t="s">
        <v>16</v>
      </c>
      <c r="C17" s="19">
        <v>0</v>
      </c>
      <c r="H17" s="19" t="s">
        <v>77</v>
      </c>
      <c r="I17" s="19" t="s">
        <v>77</v>
      </c>
      <c r="J17" s="19">
        <f>'2 states rev'!$D$58</f>
        <v>-0.19999999999999998</v>
      </c>
      <c r="K17" s="19">
        <f>'2 states rev'!$D$57</f>
        <v>0.93103448275862077</v>
      </c>
      <c r="L17" s="19" t="s">
        <v>102</v>
      </c>
      <c r="M17" s="20" t="s">
        <v>79</v>
      </c>
      <c r="P17" s="19" t="b">
        <v>0</v>
      </c>
    </row>
    <row r="18" spans="1:16" x14ac:dyDescent="0.35">
      <c r="A18" s="19">
        <f>'2 states rev'!$E$62</f>
        <v>0.39999999999999997</v>
      </c>
      <c r="B18" s="20" t="s">
        <v>18</v>
      </c>
      <c r="C18" s="19">
        <v>0</v>
      </c>
      <c r="H18" s="19" t="s">
        <v>77</v>
      </c>
      <c r="I18" s="19" t="s">
        <v>77</v>
      </c>
      <c r="J18" s="19">
        <f>'2 states rev'!$D$62</f>
        <v>0.39999999999999997</v>
      </c>
      <c r="K18" s="19">
        <f>'2 states rev'!$D$61</f>
        <v>6.8965517241379226E-2</v>
      </c>
      <c r="L18" s="19" t="s">
        <v>102</v>
      </c>
      <c r="M18" s="20" t="s">
        <v>79</v>
      </c>
      <c r="P18" s="19" t="b">
        <v>0</v>
      </c>
    </row>
    <row r="19" spans="1:16" x14ac:dyDescent="0.35">
      <c r="A19" s="19">
        <f>'2 states rev'!$D$66</f>
        <v>0</v>
      </c>
      <c r="B19" s="20" t="s">
        <v>81</v>
      </c>
      <c r="C19" s="19">
        <v>0</v>
      </c>
      <c r="H19" s="19" t="s">
        <v>77</v>
      </c>
      <c r="I19" s="19" t="s">
        <v>77</v>
      </c>
      <c r="J19" s="19">
        <f>'2 states rev'!$C$66</f>
        <v>0</v>
      </c>
      <c r="L19" s="19" t="s">
        <v>103</v>
      </c>
      <c r="M19" s="20" t="s">
        <v>79</v>
      </c>
      <c r="P19" s="19" t="b">
        <v>0</v>
      </c>
    </row>
    <row r="20" spans="1:16" x14ac:dyDescent="0.35">
      <c r="A20" s="19">
        <f>'2 states rev'!$D$72</f>
        <v>0.16521739130434782</v>
      </c>
      <c r="B20" s="20" t="s">
        <v>83</v>
      </c>
      <c r="C20" s="19">
        <v>0</v>
      </c>
      <c r="I20" s="19" t="s">
        <v>77</v>
      </c>
      <c r="J20" s="19">
        <f>'2 states rev'!$C$72</f>
        <v>0</v>
      </c>
      <c r="L20" s="19" t="s">
        <v>104</v>
      </c>
      <c r="M20" s="20" t="s">
        <v>79</v>
      </c>
      <c r="O20" s="19" t="str">
        <f>'2 states rev'!$D$71</f>
        <v>Chance</v>
      </c>
      <c r="P20" s="19" t="b">
        <v>0</v>
      </c>
    </row>
    <row r="21" spans="1:16" x14ac:dyDescent="0.35">
      <c r="A21" s="19">
        <f>'2 states rev'!$E$70</f>
        <v>-0.19999999999999998</v>
      </c>
      <c r="B21" s="20" t="s">
        <v>16</v>
      </c>
      <c r="C21" s="19">
        <v>0</v>
      </c>
      <c r="H21" s="19" t="s">
        <v>77</v>
      </c>
      <c r="I21" s="19" t="s">
        <v>77</v>
      </c>
      <c r="J21" s="19">
        <f>'2 states rev'!$D$70</f>
        <v>-0.19999999999999998</v>
      </c>
      <c r="K21" s="19">
        <f>'2 states rev'!$D$69</f>
        <v>0.39130434782608697</v>
      </c>
      <c r="L21" s="19" t="s">
        <v>105</v>
      </c>
      <c r="M21" s="20" t="s">
        <v>79</v>
      </c>
      <c r="P21" s="19" t="b">
        <v>0</v>
      </c>
    </row>
    <row r="22" spans="1:16" x14ac:dyDescent="0.35">
      <c r="A22" s="19">
        <f>'2 states rev'!$E$74</f>
        <v>0.39999999999999997</v>
      </c>
      <c r="B22" s="20" t="s">
        <v>18</v>
      </c>
      <c r="C22" s="19">
        <v>0</v>
      </c>
      <c r="H22" s="19" t="s">
        <v>77</v>
      </c>
      <c r="I22" s="19" t="s">
        <v>77</v>
      </c>
      <c r="J22" s="19">
        <f>'2 states rev'!$D$74</f>
        <v>0.39999999999999997</v>
      </c>
      <c r="K22" s="19">
        <f>'2 states rev'!$D$73</f>
        <v>0.60869565217391308</v>
      </c>
      <c r="L22" s="19" t="s">
        <v>105</v>
      </c>
      <c r="M22" s="20" t="s">
        <v>79</v>
      </c>
      <c r="P22" s="19" t="b">
        <v>0</v>
      </c>
    </row>
    <row r="23" spans="1:16" x14ac:dyDescent="0.35">
      <c r="A23" s="19">
        <f>'2 states rev'!$D$76</f>
        <v>0</v>
      </c>
      <c r="B23" s="20" t="s">
        <v>81</v>
      </c>
      <c r="C23" s="19">
        <v>0</v>
      </c>
      <c r="H23" s="19" t="s">
        <v>77</v>
      </c>
      <c r="I23" s="19" t="s">
        <v>77</v>
      </c>
      <c r="J23" s="19">
        <f>'2 states rev'!$C$76</f>
        <v>0</v>
      </c>
      <c r="L23" s="19" t="s">
        <v>85</v>
      </c>
      <c r="M23" s="20" t="s">
        <v>79</v>
      </c>
      <c r="P23" s="19" t="b">
        <v>0</v>
      </c>
    </row>
    <row r="24" spans="1:16" x14ac:dyDescent="0.35">
      <c r="A24" s="19">
        <f>'2 states rev'!$D$82</f>
        <v>0.38217821782178213</v>
      </c>
      <c r="B24" s="20" t="s">
        <v>83</v>
      </c>
      <c r="C24" s="19">
        <v>0</v>
      </c>
      <c r="I24" s="19" t="s">
        <v>77</v>
      </c>
      <c r="J24" s="19">
        <f>'2 states rev'!$C$82</f>
        <v>0</v>
      </c>
      <c r="L24" s="19" t="s">
        <v>106</v>
      </c>
      <c r="M24" s="20" t="s">
        <v>79</v>
      </c>
      <c r="O24" s="19" t="str">
        <f>'2 states rev'!$D$81</f>
        <v>Chance</v>
      </c>
      <c r="P24" s="19" t="b">
        <v>0</v>
      </c>
    </row>
    <row r="25" spans="1:16" x14ac:dyDescent="0.35">
      <c r="A25" s="19">
        <f>'2 states rev'!$E$80</f>
        <v>-0.19999999999999998</v>
      </c>
      <c r="B25" s="20" t="s">
        <v>16</v>
      </c>
      <c r="C25" s="19">
        <v>0</v>
      </c>
      <c r="H25" s="19" t="s">
        <v>77</v>
      </c>
      <c r="I25" s="19" t="s">
        <v>77</v>
      </c>
      <c r="J25" s="19">
        <f>'2 states rev'!$D$80</f>
        <v>-0.19999999999999998</v>
      </c>
      <c r="K25" s="19">
        <f>'2 states rev'!$D$79</f>
        <v>2.9702970297029715E-2</v>
      </c>
      <c r="L25" s="19" t="s">
        <v>95</v>
      </c>
      <c r="M25" s="20" t="s">
        <v>79</v>
      </c>
      <c r="P25" s="19" t="b">
        <v>0</v>
      </c>
    </row>
    <row r="26" spans="1:16" x14ac:dyDescent="0.35">
      <c r="A26" s="19">
        <f>'2 states rev'!$E$84</f>
        <v>0.39999999999999997</v>
      </c>
      <c r="B26" s="20" t="s">
        <v>18</v>
      </c>
      <c r="C26" s="19">
        <v>0</v>
      </c>
      <c r="H26" s="19" t="s">
        <v>77</v>
      </c>
      <c r="I26" s="19" t="s">
        <v>77</v>
      </c>
      <c r="J26" s="19">
        <f>'2 states rev'!$D$84</f>
        <v>0.39999999999999997</v>
      </c>
      <c r="K26" s="19">
        <f>'2 states rev'!$D$83</f>
        <v>0.97029702970297027</v>
      </c>
      <c r="L26" s="19" t="s">
        <v>95</v>
      </c>
      <c r="M26" s="20" t="s">
        <v>79</v>
      </c>
      <c r="P26" s="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 states rev</vt:lpstr>
      <vt:lpstr>treeCalc_8</vt:lpstr>
      <vt:lpstr>treeCalc_7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Canan Ulu</dc:creator>
  <cp:lastModifiedBy>Canan Ulu</cp:lastModifiedBy>
  <dcterms:created xsi:type="dcterms:W3CDTF">2026-07-17T08:45:43Z</dcterms:created>
  <dcterms:modified xsi:type="dcterms:W3CDTF">2026-07-17T08:46:52Z</dcterms:modified>
</cp:coreProperties>
</file>